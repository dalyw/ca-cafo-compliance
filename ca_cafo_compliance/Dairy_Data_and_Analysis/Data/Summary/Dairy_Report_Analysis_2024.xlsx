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ianbick_stanford_edu/Documents/CAFO/CAFO_Water_Reports/Water_White_Paper/Data/Summary/"/>
    </mc:Choice>
  </mc:AlternateContent>
  <xr:revisionPtr revIDLastSave="11" documentId="13_ncr:b_{62BE203E-0CC3-9842-916F-4870CED4F9A2}" xr6:coauthVersionLast="47" xr6:coauthVersionMax="47" xr10:uidLastSave="{6ECD224D-99AB-EB40-9407-18B5B14B9B1F}"/>
  <bookViews>
    <workbookView xWindow="2300" yWindow="580" windowWidth="27640" windowHeight="16440" xr2:uid="{E57D1863-6E77-3D43-93FE-3E447D40CC63}"/>
  </bookViews>
  <sheets>
    <sheet name="Dairy_Report_Summary_2024" sheetId="1" r:id="rId1"/>
    <sheet name="Dairy_Report_Analysis_202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2" i="2"/>
  <c r="B6" i="2"/>
  <c r="B2" i="2"/>
  <c r="B3" i="2"/>
  <c r="B1" i="2"/>
  <c r="B12" i="2"/>
  <c r="B13" i="2" l="1"/>
  <c r="D13" i="2" s="1"/>
  <c r="D6" i="2"/>
  <c r="B4" i="2"/>
</calcChain>
</file>

<file path=xl/sharedStrings.xml><?xml version="1.0" encoding="utf-8"?>
<sst xmlns="http://schemas.openxmlformats.org/spreadsheetml/2006/main" count="1248" uniqueCount="1228">
  <si>
    <t>Dairy Name</t>
  </si>
  <si>
    <t>Dairy Address</t>
  </si>
  <si>
    <t>Milk Cows</t>
  </si>
  <si>
    <t>Dry Cows</t>
  </si>
  <si>
    <t>Bred Heifers</t>
  </si>
  <si>
    <t>Heifers</t>
  </si>
  <si>
    <t>Calves (4-6 mo.)</t>
  </si>
  <si>
    <t>Calves (0-3 mo.)</t>
  </si>
  <si>
    <t>Total Herd Size</t>
  </si>
  <si>
    <t>Total Manure Excreted (tons)</t>
  </si>
  <si>
    <t>Total Dry Manure Generated N (lbs)</t>
  </si>
  <si>
    <t>Total Dry Manure Generated N After Ammonia Losses (lbs)</t>
  </si>
  <si>
    <t>Total Dry Manure Generated P (lbs)</t>
  </si>
  <si>
    <t>Total Dry Manure Generated K (lbs)</t>
  </si>
  <si>
    <t>Total Dry Manure Generated Salt (lbs)</t>
  </si>
  <si>
    <t>Total Process Wastewater Generated (gals)</t>
  </si>
  <si>
    <t>Total Process Wastewater Generated N (lbs)</t>
  </si>
  <si>
    <t>Total Process Wastewater Generated P (lbs)</t>
  </si>
  <si>
    <t>Total Process Wastewater Generated K (lbs)</t>
  </si>
  <si>
    <t>Total Process Wastewater Generated Salt (lbs)</t>
  </si>
  <si>
    <t>Average Milk Production (lb per cow per day)</t>
  </si>
  <si>
    <t>Applied N Dry Manure (lbs)</t>
  </si>
  <si>
    <t>Applied P Dry Manure (lbs)</t>
  </si>
  <si>
    <t>Applied K Dry Manure (lbs)</t>
  </si>
  <si>
    <t>Applied Salt Dry Manure (lbs)</t>
  </si>
  <si>
    <t>Applied Process Wastewater N (lbs)</t>
  </si>
  <si>
    <t>Applied Process Wastewater P (lbs)</t>
  </si>
  <si>
    <t>Applied Process Wastewater K (lbs)</t>
  </si>
  <si>
    <t>Applied Process Wastewater Salt (lbs)</t>
  </si>
  <si>
    <t>Applied to Remove Ratio N</t>
  </si>
  <si>
    <t>Applied to Remove Ratio P</t>
  </si>
  <si>
    <t>Applied to Remove Ratio K</t>
  </si>
  <si>
    <t>Applied to Remove Ratio Salt</t>
  </si>
  <si>
    <t>Total Exports N (lbs)</t>
  </si>
  <si>
    <t>Total Exports P (lbs)</t>
  </si>
  <si>
    <t>Total Exports K (lbs)</t>
  </si>
  <si>
    <t>Total Exports Salt (lbs)</t>
  </si>
  <si>
    <t>Total Applied N (lbs)</t>
  </si>
  <si>
    <t>Total Applied P (lbs)</t>
  </si>
  <si>
    <t>Total Applied K (lbs)</t>
  </si>
  <si>
    <t>Total Applied Salt (lbs)</t>
  </si>
  <si>
    <t>Unaccounted-for N (lbs)</t>
  </si>
  <si>
    <t>Unaccounted-for P (lbs)</t>
  </si>
  <si>
    <t>Unaccounted-for K (lbs)</t>
  </si>
  <si>
    <t>Unaccounted-for Salt (lbs)</t>
  </si>
  <si>
    <t>Average Milk Production (kg per cow)</t>
  </si>
  <si>
    <t>Average Milk Production (L per cow)</t>
  </si>
  <si>
    <t>Total Annual Milk Production (L)</t>
  </si>
  <si>
    <t>Total Process Wastewater Generated (L)</t>
  </si>
  <si>
    <t>Ratio of Wastewater to Milk (L/L)</t>
  </si>
  <si>
    <t>USDA Nitrogen from Manure (lbs)</t>
  </si>
  <si>
    <t>Ratio of USDA N to Reported N</t>
  </si>
  <si>
    <t>UCCE Nitrogen from Manure (lbs)</t>
  </si>
  <si>
    <t>Ratio of UCCE N to Reported N</t>
  </si>
  <si>
    <t>Manure Conversion Factor (tons per cow per year)</t>
  </si>
  <si>
    <t>A.T.O. Dairy</t>
  </si>
  <si>
    <t>19249 S Fruit AVE Riverdale Fresno 93656</t>
  </si>
  <si>
    <t>AJ Slenders Dairy</t>
  </si>
  <si>
    <t>625 E Coleman AVE Laton Fresno 93242</t>
  </si>
  <si>
    <t>AJF Dairy</t>
  </si>
  <si>
    <t>23435 12 RD Chowchilla Madera 93610</t>
  </si>
  <si>
    <t>ADAMSCOWS DAIRY</t>
  </si>
  <si>
    <t>16661 S FOWLER AVE SELMA Fresno 93662</t>
  </si>
  <si>
    <t>Alfred O. Soares Dairy</t>
  </si>
  <si>
    <t>21282 Road 6 RD Chowchilla Madera 93610</t>
  </si>
  <si>
    <t>BANOS DAIRY</t>
  </si>
  <si>
    <t>4667 Avenue 23 1/2 Chowchilla Madera 93610</t>
  </si>
  <si>
    <t>Bar None Dairy / van der Hoek Dairy</t>
  </si>
  <si>
    <t>15886 S Lassen AVE Helm Fresno 93627</t>
  </si>
  <si>
    <t>BIG DE DAIRY, LP</t>
  </si>
  <si>
    <t>2947 W Manning AVE Fresno Fresno 93706</t>
  </si>
  <si>
    <t>Black Diamond Dairy #2</t>
  </si>
  <si>
    <t>10467 W Kamm AVE Riverdale Fresno 93656</t>
  </si>
  <si>
    <t>Black Diamond Dairy</t>
  </si>
  <si>
    <t>18541 S Fruit AVE Riverdale Fresno 93656</t>
  </si>
  <si>
    <t>CSUF Ag Foundation Dairy</t>
  </si>
  <si>
    <t>5450 N Sierra Vista AVE Fresno Fresno 93740</t>
  </si>
  <si>
    <t>Capstone Ranch</t>
  </si>
  <si>
    <t>14221 Ave 14 Madera Madera 93637</t>
  </si>
  <si>
    <t>Cedar Avenue Feedlot</t>
  </si>
  <si>
    <t>21622 Cedar Avenue Laton Fresno 93242</t>
  </si>
  <si>
    <t>Coderview Holsteins</t>
  </si>
  <si>
    <t>40396 W Valeria Dos Palos Fresno 93620</t>
  </si>
  <si>
    <t>Coelho Farms Dairy, Inc.</t>
  </si>
  <si>
    <t>21656 S Cornelia AVE Riverdale Fresno 93656</t>
  </si>
  <si>
    <t>Costa View Dairy North</t>
  </si>
  <si>
    <t>9499 Avenue 20 Chowchilla Madera 93610</t>
  </si>
  <si>
    <t>Costa View Farms</t>
  </si>
  <si>
    <t>16800 Road 15 Madera Madera 93637</t>
  </si>
  <si>
    <t>Double DJ Dairy</t>
  </si>
  <si>
    <t>14768 Avenue 27 Chowchilla Madera 93610</t>
  </si>
  <si>
    <t>Dry River Dairy</t>
  </si>
  <si>
    <t>12718 Avenue 25 Chowchilla Madera 93610</t>
  </si>
  <si>
    <t>El Dorado Ranches, Inc.</t>
  </si>
  <si>
    <t>23025 W. American RD San Joaquin Fresno 93660</t>
  </si>
  <si>
    <t>Fagundes Dairy (TF Farms)</t>
  </si>
  <si>
    <t>23732 Road 12 Chowchilla Madera 93610</t>
  </si>
  <si>
    <t>Frank S. Brown Co.</t>
  </si>
  <si>
    <t>22045 S Valentine AVE Riverdale Fresno 93656</t>
  </si>
  <si>
    <t>FREA DAIRY, LLC</t>
  </si>
  <si>
    <t>6205 S. Brawley Avenue Fresno Fresno 93706</t>
  </si>
  <si>
    <t>Fred Rau Dairy, Inc.</t>
  </si>
  <si>
    <t>10255 W Manning AVE Fresno Fresno 93706</t>
  </si>
  <si>
    <t>G &amp; A Dairy #2</t>
  </si>
  <si>
    <t>6043 S Madera Kerman Fresno 93630</t>
  </si>
  <si>
    <t>Gerrit Visser &amp; Sons</t>
  </si>
  <si>
    <t>18565 S Marks AVE Riverdale Fresno 93656</t>
  </si>
  <si>
    <t>Golden Star Dairy</t>
  </si>
  <si>
    <t>4109 E Conejo AVE Selma Fresno 93662</t>
  </si>
  <si>
    <t>Grain Mill Group East</t>
  </si>
  <si>
    <t>4604 W Harlan AVE Riverdale Fresno 93656</t>
  </si>
  <si>
    <t>Grain Mill Group West</t>
  </si>
  <si>
    <t>5336 W Harlan AVE Riverdale Fresno 93656</t>
  </si>
  <si>
    <t>HANSEN &amp; SONS INC.</t>
  </si>
  <si>
    <t>13348 AVENUE 20 CHOWCHILLA Madera 93610</t>
  </si>
  <si>
    <t>Iest Family Farms</t>
  </si>
  <si>
    <t>14576 Avenue 14 Madera Madera 93637</t>
  </si>
  <si>
    <t>J&amp;D Wilson &amp; Sons Dairy</t>
  </si>
  <si>
    <t>11720 W Mt. Whitney AVE Riverdale Fresno 93656</t>
  </si>
  <si>
    <t>J&amp;F Martins Dairy #2</t>
  </si>
  <si>
    <t>541 East Wood AVE Laton Kings 93242</t>
  </si>
  <si>
    <t>J&amp;D Wilson Dry Cows</t>
  </si>
  <si>
    <t>430 W Mt. Whitney AVE Riverdale Fresno 93656</t>
  </si>
  <si>
    <t>Joe Mama's Heifer Ranch (Formerly Avila Family</t>
  </si>
  <si>
    <t>13644 Avenue 18 1/2 Chowchilla Madera 93610</t>
  </si>
  <si>
    <t>Joe R Garcia Dairy AKA Netto Enterprise</t>
  </si>
  <si>
    <t>20677 S East AVE Laton Fresno 93242</t>
  </si>
  <si>
    <t>John DeGroot &amp; Son L.L.P.</t>
  </si>
  <si>
    <t>6105 W Lincoln AVE Fresno Fresno 93706</t>
  </si>
  <si>
    <t>Kerman Cattle Co</t>
  </si>
  <si>
    <t>4301 S Dickenson Fresno Fresno 93706</t>
  </si>
  <si>
    <t>LaSalle Dairy</t>
  </si>
  <si>
    <t>10663 7 1/2 AVE Firebaugh Madera 93622</t>
  </si>
  <si>
    <t>Leonardo Bros Dairy</t>
  </si>
  <si>
    <t>16508 S Clovis AVE Selma Kings 93662</t>
  </si>
  <si>
    <t>McREE DAIRY EAST</t>
  </si>
  <si>
    <t>11812 Avenue 18 Chowchilla Madera 93610</t>
  </si>
  <si>
    <t>Medeiros Dairy, Inc.</t>
  </si>
  <si>
    <t>608 E Riverdale AVE Laton Fresno 93242</t>
  </si>
  <si>
    <t>Micheal McRee South</t>
  </si>
  <si>
    <t>11304 Ave. 18 Chowchilla Madera 93610</t>
  </si>
  <si>
    <t>Mt. Whitney Dairy</t>
  </si>
  <si>
    <t>2792 W Mt. Whitney AVE Riverdale Fresno 93656</t>
  </si>
  <si>
    <t>Morning Star Dairy, Inc</t>
  </si>
  <si>
    <t>10262 W Elkhorn AVE Burrel Fresno 93607</t>
  </si>
  <si>
    <t>Philip Verwey Dairy, Inc.</t>
  </si>
  <si>
    <t>12852 Road 9 Madera Madera 93637</t>
  </si>
  <si>
    <t>RIVAS DAIRY</t>
  </si>
  <si>
    <t>41198 W Valeria AVE Dos Palos Fresno 93620</t>
  </si>
  <si>
    <t>River Valley Dairy</t>
  </si>
  <si>
    <t>22700 S Cornelia AVE Riverdale Fresno 93656</t>
  </si>
  <si>
    <t>RuAnn Dairy</t>
  </si>
  <si>
    <t>7285 W Davis AVE Riverdale Fresno 93656</t>
  </si>
  <si>
    <t>Shady Acres Dairy #2</t>
  </si>
  <si>
    <t>15391 West Elkhorn AVE Helm Fresno 93627</t>
  </si>
  <si>
    <t>South Iest Dairy (Former Milk Time Dairy)</t>
  </si>
  <si>
    <t>12519 Road 17 Madera Madera 93637</t>
  </si>
  <si>
    <t>Shein Ranch</t>
  </si>
  <si>
    <t>13668 13 AVE Madera Madera 93637</t>
  </si>
  <si>
    <t>Souza's Dairy, Inc.</t>
  </si>
  <si>
    <t>8555 S Valentine AVE Fresno Fresno 93706</t>
  </si>
  <si>
    <t>SOZINHO DAIRY #2</t>
  </si>
  <si>
    <t>8489 E. Elkhorn AVE Selma Fresno 93662</t>
  </si>
  <si>
    <t>AAA JERSEY DAIRY</t>
  </si>
  <si>
    <t>20680 Avenue 21 1/2 Chowchilla Madera 93610</t>
  </si>
  <si>
    <t>Tri-Iest Dairy</t>
  </si>
  <si>
    <t>16500 Avenue 14 Madera Madera 93637</t>
  </si>
  <si>
    <t>Triangle M Dairy</t>
  </si>
  <si>
    <t>11302 Avenue 18 1/2 Chowchilla Madera 93610</t>
  </si>
  <si>
    <t>Troost Dairy</t>
  </si>
  <si>
    <t>27000 Road 9 Chowchilla Madera 93610</t>
  </si>
  <si>
    <t>Double A Dairy</t>
  </si>
  <si>
    <t>19436 S East AVE Laton Fresno 93242</t>
  </si>
  <si>
    <t>Vitoria Farms</t>
  </si>
  <si>
    <t>12429 ave 24 Chowchilla Madera 93610</t>
  </si>
  <si>
    <t>Vlot Calf Ranch</t>
  </si>
  <si>
    <t>20330 Road 4 Chowchilla Madera 93610</t>
  </si>
  <si>
    <t>White River Dairy</t>
  </si>
  <si>
    <t>20400 Ave. 17 1/2 AVE Madera Madera 93637</t>
  </si>
  <si>
    <t>Avalon Dairy Farms</t>
  </si>
  <si>
    <t>27125 Pond RD Wasco Kern 93280</t>
  </si>
  <si>
    <t>B.V. Dairy</t>
  </si>
  <si>
    <t>18904 Bear Mountain Blvd. Bakersfield Kern 93307</t>
  </si>
  <si>
    <t>Bear 5 Feedlot</t>
  </si>
  <si>
    <t>12841 Bear Mountain BLVD Bakersfield Kern 93311</t>
  </si>
  <si>
    <t>Belonave Ranch LLC</t>
  </si>
  <si>
    <t>14461 Taft Highway Bakersfield Kern 93311</t>
  </si>
  <si>
    <t>Bidart 2</t>
  </si>
  <si>
    <t>20400 Old River Rd. Bakersfield Kern 93311</t>
  </si>
  <si>
    <t>Bidart 3</t>
  </si>
  <si>
    <t>25820 Stockdale HWY Bakersfield Kern 93314</t>
  </si>
  <si>
    <t>Carlos Echeverria &amp; Sons Dairy</t>
  </si>
  <si>
    <t>20229 Old River RD Bakersfield Kern 93311</t>
  </si>
  <si>
    <t>Poso Creek Family Dairy, LLC</t>
  </si>
  <si>
    <t>13437 Gun Club RD Wasco Kern 93280</t>
  </si>
  <si>
    <t>Poso Creek Family Dairy #2</t>
  </si>
  <si>
    <t>24794 Sherwood AVE Wasco Kern 93280</t>
  </si>
  <si>
    <t>Kootstra Dairy Farms</t>
  </si>
  <si>
    <t>13628 Adobe RD Bakersfield Kern 93307</t>
  </si>
  <si>
    <t>Maya Dairy</t>
  </si>
  <si>
    <t>18451 Wildwood Rd. Buttonwilllow Kern 93206</t>
  </si>
  <si>
    <t>Peterson Dairy</t>
  </si>
  <si>
    <t>30999 Peterson RD Mcfarland Kern 93250</t>
  </si>
  <si>
    <t>RichMar Farms</t>
  </si>
  <si>
    <t>1129 E Shafter RD Bakersfield Kern 93307</t>
  </si>
  <si>
    <t>VP Legacy Farms</t>
  </si>
  <si>
    <t>28349 Los Angeles ST Shafter Kern 93263</t>
  </si>
  <si>
    <t>Vanden Berge Dairy</t>
  </si>
  <si>
    <t>11701 Old River RD Bakersfield Kern 93311</t>
  </si>
  <si>
    <t>West Star North Dairy</t>
  </si>
  <si>
    <t>26953 Riverside ST Buttonwillow Kern 93206</t>
  </si>
  <si>
    <t>20784 Laurel AVE Stratford Kings 93266</t>
  </si>
  <si>
    <t>Sunshine Dairy (Anthony &amp; Robert Brazil Dairy)</t>
  </si>
  <si>
    <t>13113 7th AVE Hanford Kings 93230</t>
  </si>
  <si>
    <t>Alvaro Machado Dairy</t>
  </si>
  <si>
    <t>5230 9th Ave AVE Hanford Kings 93230</t>
  </si>
  <si>
    <t>Antonio Garcia Dairy</t>
  </si>
  <si>
    <t>6571 Fargo AVE Hanford Kings 93230</t>
  </si>
  <si>
    <t>Bar E Dairy</t>
  </si>
  <si>
    <t>6970 Corona AVE Kingsburg Kings 93631</t>
  </si>
  <si>
    <t>Barreto &amp; Silveira Dairy</t>
  </si>
  <si>
    <t>11305 2nd Ave Hanford Kings 93230</t>
  </si>
  <si>
    <t>Contente &amp; Company</t>
  </si>
  <si>
    <t>7900 15th Ave Hanford Kings 93230</t>
  </si>
  <si>
    <t>Daniel Brasil Dairy</t>
  </si>
  <si>
    <t>18280 Fairfax AVE Lemoore Kings 93245</t>
  </si>
  <si>
    <t>Dixie Creek Ranch</t>
  </si>
  <si>
    <t>3601 Lacey Blvd. Hanford Kings 93230</t>
  </si>
  <si>
    <t>Double A Feeders</t>
  </si>
  <si>
    <t>15673 5th 1/2 AVE Hanford Kings 93230</t>
  </si>
  <si>
    <t>Double N Dairy II</t>
  </si>
  <si>
    <t>18104 Everett AVE Laton Kings 93242</t>
  </si>
  <si>
    <t>DOUBLE "N" DAIRY</t>
  </si>
  <si>
    <t>12700 EVERETT AVE HANFORD,CA Kings 93230</t>
  </si>
  <si>
    <t>Dover Dairy</t>
  </si>
  <si>
    <t>4265 Dover AVE Hanford Kings 93230</t>
  </si>
  <si>
    <t>Dream Dairy #1</t>
  </si>
  <si>
    <t>6780 Excelsior AVE Hanford Kings 93230</t>
  </si>
  <si>
    <t>Dutra &amp; Dutra Dairy</t>
  </si>
  <si>
    <t>7480 5th AVE Hanford Kings 93230</t>
  </si>
  <si>
    <t>E. Mendes Dairy</t>
  </si>
  <si>
    <t>23568 Fargo AVE Lemoore Kings 93245</t>
  </si>
  <si>
    <t>F&amp;S Brasil</t>
  </si>
  <si>
    <t>14315 Kent AVE Hanford Kings 93230</t>
  </si>
  <si>
    <t>Fagundes Agribusiness Dairy</t>
  </si>
  <si>
    <t>7546 8-1/2 AVE Hanford Kings 93230</t>
  </si>
  <si>
    <t>Felicita Dairy</t>
  </si>
  <si>
    <t>22154 Road 20 Tulare Kings 93274</t>
  </si>
  <si>
    <t>Flatland Farms</t>
  </si>
  <si>
    <t>8431 15th AVE Hanford Kings 93230</t>
  </si>
  <si>
    <t>Flint Dairy</t>
  </si>
  <si>
    <t>6511 Flint Ave. Hanford Kings 93230</t>
  </si>
  <si>
    <t>Four Star Dairy</t>
  </si>
  <si>
    <t>22401 20 RD Tulare Tulare 93274</t>
  </si>
  <si>
    <t>Georgeson Dairy</t>
  </si>
  <si>
    <t>8519 24th AVE Lemoore Kings 93245</t>
  </si>
  <si>
    <t>Golden Star Dairy #2</t>
  </si>
  <si>
    <t>6398 16th AVE Hanford Kings 93230</t>
  </si>
  <si>
    <t>Henry Veenendaal Dairy, L.P.</t>
  </si>
  <si>
    <t>3678 Houston Ave. Hanford Kings 93230</t>
  </si>
  <si>
    <t>J&amp;D Wilson Dairy #2</t>
  </si>
  <si>
    <t>23565 Grangeville BLVD Lemoore Kings 93230</t>
  </si>
  <si>
    <t>Jaques &amp; Silva Dairy</t>
  </si>
  <si>
    <t>10536 6th AVE Hanford Kings 93230</t>
  </si>
  <si>
    <t>Joaquim Mattos &amp; Family Dairy</t>
  </si>
  <si>
    <t>4790 Kansas AVE Hanford Kings 93230</t>
  </si>
  <si>
    <t>LU/AR Dairy</t>
  </si>
  <si>
    <t>6121 15th AVE Hanford Kings 93230</t>
  </si>
  <si>
    <t>Lone Oak Farms #1</t>
  </si>
  <si>
    <t>13866 4th AVE Hanford Kings 93230</t>
  </si>
  <si>
    <t>Mattos Bros. Dairy</t>
  </si>
  <si>
    <t>4017 Kansas AVE Hanford Kings 93230</t>
  </si>
  <si>
    <t>Mattos Bro. #4</t>
  </si>
  <si>
    <t>4555 Kansas AVE Hanford Kings 93230</t>
  </si>
  <si>
    <t>Mello D Jerseys</t>
  </si>
  <si>
    <t>14803 Grangeville BLVD Hanford Kings 93230</t>
  </si>
  <si>
    <t>Neves Dairy</t>
  </si>
  <si>
    <t>7578 Kent AVE Hanford Kings 93230</t>
  </si>
  <si>
    <t>Over the Moon Dairy</t>
  </si>
  <si>
    <t>9455 2nd Avenue Hanford Kings 93230</t>
  </si>
  <si>
    <t>Parreira Gaspar Dairy</t>
  </si>
  <si>
    <t>17800 4th AVE Hanford Kings 93230</t>
  </si>
  <si>
    <t>Phoenix Dairy</t>
  </si>
  <si>
    <t>10736 1 1/2 Avenue Hanford Kings 93230</t>
  </si>
  <si>
    <t>Richard Simas</t>
  </si>
  <si>
    <t>17571 Flint AVE Hanford Kings 93230</t>
  </si>
  <si>
    <t>Santa Anita Dairy</t>
  </si>
  <si>
    <t>4356 Kansas AVE Hanford Kings 93230</t>
  </si>
  <si>
    <t>Sierra Blanca Ranch #2</t>
  </si>
  <si>
    <t>15010 5th AVE Hanford Kings 93230</t>
  </si>
  <si>
    <t>Silva &amp; Son Dairy</t>
  </si>
  <si>
    <t>8331 Excelsior AVE Hanford Kings 93230</t>
  </si>
  <si>
    <t>SOZINHO DAIRY #1</t>
  </si>
  <si>
    <t>11447 8 1/2 AVE Hanford Kings 93230</t>
  </si>
  <si>
    <t>Sozinho Dairy #5</t>
  </si>
  <si>
    <t>7205 Houston AVE Hanford Kings 93230</t>
  </si>
  <si>
    <t>Sozinho Jerseys</t>
  </si>
  <si>
    <t>4615 Excelsior AVE Hanford Kings 93230</t>
  </si>
  <si>
    <t>Sozinho Jerseys 2</t>
  </si>
  <si>
    <t>5811 Lacey BLVD Hanford Kings 93230</t>
  </si>
  <si>
    <t>Joe B Pacheco Dairy</t>
  </si>
  <si>
    <t>16025 6 1/2 AVE Hanford Kings 93230</t>
  </si>
  <si>
    <t>Matos Dairy</t>
  </si>
  <si>
    <t>100 S Quinley AVE Merced Merced 95340</t>
  </si>
  <si>
    <t>Carl &amp; Laurie Vieira Dairies</t>
  </si>
  <si>
    <t>1000 N Mitchell RD Turlock Stanislaus 95380</t>
  </si>
  <si>
    <t>Wendell Trinkler Jr. Dairy</t>
  </si>
  <si>
    <t>1001 W Monte Vista RD Ceres Stanislaus 95307</t>
  </si>
  <si>
    <t>Manuel Martins Dairy L.P.</t>
  </si>
  <si>
    <t>10043 Milnes Modesto Stanislaus 95307</t>
  </si>
  <si>
    <t>Frank Gwerder Dairy, Inc.</t>
  </si>
  <si>
    <t>1007 S Hart RD Modesto Stanislaus 95358</t>
  </si>
  <si>
    <t>FAUST DAIRY &amp; HEIFER</t>
  </si>
  <si>
    <t>10077 Avenue 26 Chowchilla Merced 93610</t>
  </si>
  <si>
    <t>CENTRAL VALLEY REGION</t>
  </si>
  <si>
    <t>M5 Dairy</t>
  </si>
  <si>
    <t>10090 Kost RD Galt Sacramento 95632</t>
  </si>
  <si>
    <t>Dairy Central Heifers</t>
  </si>
  <si>
    <t>10119 W August RD Turlock Stanislaus 95380</t>
  </si>
  <si>
    <t>DeMelo Dairy</t>
  </si>
  <si>
    <t>10145 PRINGLE AVE GALT Sacramento 95632</t>
  </si>
  <si>
    <t>Garcia's Registered Jerseys</t>
  </si>
  <si>
    <t>1018 Hickman RD Turlock Stanislaus 95380</t>
  </si>
  <si>
    <t>Robert Gioletti and Sons Dairy Inc.</t>
  </si>
  <si>
    <t>10213 W Main ST Turlock Stanislaus 95380</t>
  </si>
  <si>
    <t>Robert Gioletti and Sons Dairy Inc. #2</t>
  </si>
  <si>
    <t>10218 Fulkerth RD Ceres Stanislaus 95307</t>
  </si>
  <si>
    <t>Magneson Dairy, Inc.</t>
  </si>
  <si>
    <t>10235 W El Capitan WAY Ballico Merced 95312</t>
  </si>
  <si>
    <t>Judith Pond Property</t>
  </si>
  <si>
    <t>10300 Dillard RD Wilton Sacramento 95693</t>
  </si>
  <si>
    <t>E.R. Prins Dairy #1</t>
  </si>
  <si>
    <t>10385 Van Allen RD Stockton San Joaquin 95215</t>
  </si>
  <si>
    <t>Roestar Dairy</t>
  </si>
  <si>
    <t>10407 W Bradbury RD Turlock Stanislaus 95380</t>
  </si>
  <si>
    <t>Manuel &amp; Jeanette Borges Dairy</t>
  </si>
  <si>
    <t>10408 S Van Allen RD Stockton San Joaquin 95215</t>
  </si>
  <si>
    <t>John Thomas Dairy</t>
  </si>
  <si>
    <t>10408 W Bradbury RD Turlock Stanislaus 95380</t>
  </si>
  <si>
    <t>AJR Farms (Formerly Maria Silveira 2011 Trust D</t>
  </si>
  <si>
    <t>10511 Ingomar Grade RD Gustine Merced 95322</t>
  </si>
  <si>
    <t>Cal-Denier Dairy LLC</t>
  </si>
  <si>
    <t>10715 Arno RD Galt Sacramento 95632</t>
  </si>
  <si>
    <t>Hoekstra Dairy</t>
  </si>
  <si>
    <t>10836 Hwy 120 Oakdale Stanislaus 95361</t>
  </si>
  <si>
    <t>P&amp;D Dairy East</t>
  </si>
  <si>
    <t>10860 S Ingomar Grade RD Gustine Merced 95322</t>
  </si>
  <si>
    <t>Cressey River LLC</t>
  </si>
  <si>
    <t>10986 Livingston Cressey WAY Livingston Merced 95334</t>
  </si>
  <si>
    <t>Albert Mendes Dairy</t>
  </si>
  <si>
    <t>1100 Ruble RD Crows Landing Stanislaus 95313</t>
  </si>
  <si>
    <t>Pearson and Coupe LLC</t>
  </si>
  <si>
    <t>11096 Boessow RD Galt Sacramento 95632</t>
  </si>
  <si>
    <t>U-Bar Dairy</t>
  </si>
  <si>
    <t>11100 Liberty RD Galt San Joaquin 95632</t>
  </si>
  <si>
    <t>De Jager Dairy #2 North</t>
  </si>
  <si>
    <t>11140 Ivy AVE Chowchilla Merced 93610</t>
  </si>
  <si>
    <t>Lucas Dairy</t>
  </si>
  <si>
    <t>11204 Fulkerth RD Turlock Stanislaus 95380</t>
  </si>
  <si>
    <t>Fire-Lake Jerseys</t>
  </si>
  <si>
    <t>11301 W Bradbury RD Turlock Stanislaus 95380</t>
  </si>
  <si>
    <t>Da Rosa Dairy</t>
  </si>
  <si>
    <t>1131 Story Rd RD Turlock San Joaquin 95380</t>
  </si>
  <si>
    <t>Luis A. Pimentel Dairy</t>
  </si>
  <si>
    <t>11375 Bruceville RD Elk Grove Sacramento 95758</t>
  </si>
  <si>
    <t>De Jager Dairy North #1</t>
  </si>
  <si>
    <t>11375 S Ivy AVE Chowchilla Merced 93610</t>
  </si>
  <si>
    <t>Pimentel Dairy</t>
  </si>
  <si>
    <t>11391 Franklin BLVD Elk Grove Sacramento 95757</t>
  </si>
  <si>
    <t>Verburg &amp; Son Dairy</t>
  </si>
  <si>
    <t>1142 N Hart RD Modesto Stanislaus 95358</t>
  </si>
  <si>
    <t>Carvalho Dairy</t>
  </si>
  <si>
    <t>11443 Crows Landing RD Crows Landing Stanislaus 95313</t>
  </si>
  <si>
    <t>SB Farms</t>
  </si>
  <si>
    <t>11450 Carroll RD Elk Grove Sacramento 95757</t>
  </si>
  <si>
    <t>Martin Family Dairy</t>
  </si>
  <si>
    <t>11401 N DAVIS RD LODI San Joaquin 95242</t>
  </si>
  <si>
    <t>PH RANCH #3</t>
  </si>
  <si>
    <t>11586 N Shaffer RD Winton Merced 95388</t>
  </si>
  <si>
    <t>STEPPS FARMS (Formerly Desperado Dairy)</t>
  </si>
  <si>
    <t>11601 Simmerhorn Road Galt Sacramento 95632</t>
  </si>
  <si>
    <t>Machado Dairy Farms #3</t>
  </si>
  <si>
    <t>11685 E Mariposa RD Stockton San Joaquin 95215</t>
  </si>
  <si>
    <t>Machado and Sons Dairy</t>
  </si>
  <si>
    <t>11706 E Keyes RD Denair Stanislaus 95316</t>
  </si>
  <si>
    <t>MACHADO &amp; SONS</t>
  </si>
  <si>
    <t>11735 CARROLL RD ELK GROVE Sacramento 95757</t>
  </si>
  <si>
    <t>Antonio &amp; Maria Alberto Dairy</t>
  </si>
  <si>
    <t>11737 Bluegum RD Hickman Stanislaus 95323</t>
  </si>
  <si>
    <t>G. Simoes Dairy, Inc.</t>
  </si>
  <si>
    <t>11758 Carroll RD Elk Grove Sacramento 95757</t>
  </si>
  <si>
    <t>Van Steyn Dairy</t>
  </si>
  <si>
    <t>11823 Carroll RD Elk Grove Sacramento 95757-9766</t>
  </si>
  <si>
    <t>J&amp;M Dairy</t>
  </si>
  <si>
    <t>11910 Bruceville RD Elk Grove Sacramento 95757</t>
  </si>
  <si>
    <t>Grand View Dairy</t>
  </si>
  <si>
    <t>11923 E Childs AVE Le Grand Merced 95333</t>
  </si>
  <si>
    <t>Frank Chaves and Sons #2</t>
  </si>
  <si>
    <t>12021 E Harney LN Lodi San Joaquin 95240</t>
  </si>
  <si>
    <t>Eddie Silveira Family Dairy</t>
  </si>
  <si>
    <t>12081 S Cherokee RD Gustine Merced 95322</t>
  </si>
  <si>
    <t>River Oak Heifers</t>
  </si>
  <si>
    <t>12100 Fogarty RD Oakdale Stanislaus 95361</t>
  </si>
  <si>
    <t>Van Warmerdam Dairy Inc.</t>
  </si>
  <si>
    <t>12121 McKenzie RD Galt Sacramento 95632</t>
  </si>
  <si>
    <t>MB Lucky Lady</t>
  </si>
  <si>
    <t>1218 W Keyes RD Modesto Stanislaus 95358</t>
  </si>
  <si>
    <t>Germann Bros Dairy</t>
  </si>
  <si>
    <t>1236 E Taylor RD Ceres Stanislaus 95307</t>
  </si>
  <si>
    <t>Gabriel Machado &amp; Sons Dairy</t>
  </si>
  <si>
    <t>12464 S Vincent RD Turlock Merced 95380</t>
  </si>
  <si>
    <t>Veldhuis North Dairy</t>
  </si>
  <si>
    <t>12465 Lee RD Ballico Merced 95303</t>
  </si>
  <si>
    <t>RP Feedlot (Formerly Francisco Mendonca Dairy)</t>
  </si>
  <si>
    <t>12467 Carpenter RD Crows Landing Stanislaus 95213</t>
  </si>
  <si>
    <t>Cross View Dairy</t>
  </si>
  <si>
    <t>12530 Warnerville RD Oakdale Stanislaus 95361</t>
  </si>
  <si>
    <t>Art Silva &amp; Son Dairy</t>
  </si>
  <si>
    <t>12636 W Main ST Crows Landing Stanislaus 95313</t>
  </si>
  <si>
    <t>Bartelink Dairy</t>
  </si>
  <si>
    <t>12637 Van Allen RD Escalon San Joaquin 95320</t>
  </si>
  <si>
    <t>S.A.S Dairy #2</t>
  </si>
  <si>
    <t>12712 W. Bradbury RD Turlock Stanislaus 95380</t>
  </si>
  <si>
    <t>Vander Schaaf Dairy #1</t>
  </si>
  <si>
    <t>12739 Murphy RD Escalon Stanislaus 95320</t>
  </si>
  <si>
    <t>Sousa Family Dairy</t>
  </si>
  <si>
    <t>12801 W Bradbury RD Turlock Stanislaus 95380</t>
  </si>
  <si>
    <t>3A Teixeira</t>
  </si>
  <si>
    <t>12926 N Vincent RD Turlock Merced 95380</t>
  </si>
  <si>
    <t>M. &amp; M. Moules Dairy</t>
  </si>
  <si>
    <t>12951 E Harney LN Lodi San Joaquin 95240</t>
  </si>
  <si>
    <t>Silva Brothers Dairy</t>
  </si>
  <si>
    <t>12997 E Peltier RD Acampo San Joaquin 95220</t>
  </si>
  <si>
    <t>Gary Pellandini</t>
  </si>
  <si>
    <t>13020 Pellandini RD Galt Sacramento 95632</t>
  </si>
  <si>
    <t>Van Steyn Dairy #2</t>
  </si>
  <si>
    <t>13039 Pellandini RD Galt Sacramento 95632-8818</t>
  </si>
  <si>
    <t>Frank Chaves and Sons Dairy #1</t>
  </si>
  <si>
    <t>13080 E Harney LN Lodi San Joaquin 95240</t>
  </si>
  <si>
    <t>Van Groningen &amp; Sons, Inc.</t>
  </si>
  <si>
    <t>13293 Louise AVE Manteca San Joaquin 95336</t>
  </si>
  <si>
    <t>Live Oak Dairy F</t>
  </si>
  <si>
    <t>13310 W Eagle Field RD Firebaugh Merced 93622</t>
  </si>
  <si>
    <t>Amarjit S. Kaile Property</t>
  </si>
  <si>
    <t>13340 Sargent AVE Galt Sacramento 95632</t>
  </si>
  <si>
    <t>Azevedo Dairy Inc</t>
  </si>
  <si>
    <t>1337 Magnolia AVE Patterson Stanislaus 95363</t>
  </si>
  <si>
    <t>Lima Ranch</t>
  </si>
  <si>
    <t>13436 N Thornton RD Lodi San Joaquin 95242</t>
  </si>
  <si>
    <t>Parkview Dairy</t>
  </si>
  <si>
    <t>13640 Collier RD Delhi Merced 95315</t>
  </si>
  <si>
    <t>Forebay Farms</t>
  </si>
  <si>
    <t>13699 Cherokee RD Gustine Merced 95322</t>
  </si>
  <si>
    <t>Healy Ranch (Formally Guilherme Brasil Dairy)</t>
  </si>
  <si>
    <t>13701 S Hwy 59 El Nido Merced 95317</t>
  </si>
  <si>
    <t>Vander Schaaf Dairy #3</t>
  </si>
  <si>
    <t>13775 Murphy RD Escalon Stanislaus 95320</t>
  </si>
  <si>
    <t>Vitoria Dairy</t>
  </si>
  <si>
    <t>14018 Crowslanding Road Crowslanding Stanislaus 95313</t>
  </si>
  <si>
    <t>Sierra Ranches</t>
  </si>
  <si>
    <t>1412 Albers RD Modesto Stanislaus 95357</t>
  </si>
  <si>
    <t>Alden Peterson &amp; Sons Inc.</t>
  </si>
  <si>
    <t>1431 N Central AVE Turlock Stanislaus 95380</t>
  </si>
  <si>
    <t>Pete Postma Dairy #2</t>
  </si>
  <si>
    <t>1439 Albers Rd Modesto Stanislaus 95357</t>
  </si>
  <si>
    <t>Fagundes Bros. Dairy #2</t>
  </si>
  <si>
    <t>14478 Cox Ferry Road Snelling Merced 95369</t>
  </si>
  <si>
    <t>Fragoso Dairy #2</t>
  </si>
  <si>
    <t>14691 S Brennan RD Escalon San Joaquin 95320</t>
  </si>
  <si>
    <t>Haringa Dairy</t>
  </si>
  <si>
    <t>14842 E Keyes RD Denair Stanislaus 95316</t>
  </si>
  <si>
    <t>Fagundes Bros. Dairy #4</t>
  </si>
  <si>
    <t>14877 Cox Ferry Road Snelling Merced 95369</t>
  </si>
  <si>
    <t>Alamo Dairy</t>
  </si>
  <si>
    <t>1500 Fulkerth RD Crows Landing Stanislaus 95313</t>
  </si>
  <si>
    <t>Pires Dairy Farms #2 ( Formerly Jones Farms)</t>
  </si>
  <si>
    <t>1511 Van Clief RD Stevinson Merced 95374</t>
  </si>
  <si>
    <t>LOCKWOOD III DAIRY</t>
  </si>
  <si>
    <t>15343 TIM BELL RD WATERFORD Stanislaus 95386</t>
  </si>
  <si>
    <t>Vander Schaaf Dairy #2</t>
  </si>
  <si>
    <t>15355 S Van Allen Escalon San Joaquin 95320</t>
  </si>
  <si>
    <t>Manuel &amp; Maria Silva Dairy</t>
  </si>
  <si>
    <t>15420 E Highway 4 Stockton San Joaquin 95215</t>
  </si>
  <si>
    <t>Countyline LLC</t>
  </si>
  <si>
    <t>15453 Monte Vista Ave Denair Stanislaus 95316</t>
  </si>
  <si>
    <t>Vander Woude Dairy</t>
  </si>
  <si>
    <t>1550 W Rahilly RD Merced Merced 95341</t>
  </si>
  <si>
    <t>Caton Farms</t>
  </si>
  <si>
    <t>15635 S Steinegul RD Escalon San Joaquin 95320</t>
  </si>
  <si>
    <t>O'Banion Ranches</t>
  </si>
  <si>
    <t>15775 S Indiana RD Dos Palos Merced 93620</t>
  </si>
  <si>
    <t>DCB Farming, LLC</t>
  </si>
  <si>
    <t>1581 E Roosevelt RD El Nido Merced 95317</t>
  </si>
  <si>
    <t>Manuel DaSilva Dairy</t>
  </si>
  <si>
    <t>15836 Steinegul RD Escalon San Joaquin 95320</t>
  </si>
  <si>
    <t>Lourenco/Wickstrom Dairy #4</t>
  </si>
  <si>
    <t>16126 Sunset AVE Livingston Merced 95334</t>
  </si>
  <si>
    <t>Loek Van Warmerdam Dairy</t>
  </si>
  <si>
    <t>1616 Cornelius Ave. Nicolaus Sutter 95659</t>
  </si>
  <si>
    <t>Pires Dairy Farms</t>
  </si>
  <si>
    <t>1622 Kniebes RD Gustine Merced 95322</t>
  </si>
  <si>
    <t>R Doornenbal Dairy #2</t>
  </si>
  <si>
    <t>16348 S Van Allen RD Escalon San Joaquin 95320</t>
  </si>
  <si>
    <t>G &amp; H Dairy #2</t>
  </si>
  <si>
    <t>16475 Brennan RD Escalon San Joaquin 95320</t>
  </si>
  <si>
    <t>Oak Creek Dairy (Formerly Michael De Hoog Dair</t>
  </si>
  <si>
    <t>1650 Mcnamara RD Merced Merced 95340</t>
  </si>
  <si>
    <t>Meirinho West, Inc.</t>
  </si>
  <si>
    <t>1685 Dunn Road Modesto Stanislaus 95358</t>
  </si>
  <si>
    <t>Meikle Dairy</t>
  </si>
  <si>
    <t>1685 S Hart RD Modesto Stanislaus 95358</t>
  </si>
  <si>
    <t>G &amp; H Dairy</t>
  </si>
  <si>
    <t>16996 Sexton RD Escalon San Joaquin 95320</t>
  </si>
  <si>
    <t>John Brasil Dairy #3</t>
  </si>
  <si>
    <t>1707 S Mitchell RD Turlock Merced 95380</t>
  </si>
  <si>
    <t>George &amp; Cheryl Melo</t>
  </si>
  <si>
    <t>1713 W Fulkerth Rd. RD Crowslanding Stanislaus 95313</t>
  </si>
  <si>
    <t>Nissen Dairy, Inc.</t>
  </si>
  <si>
    <t>17263 Brennan AVE Escalon San Joaquin 95320</t>
  </si>
  <si>
    <t>Joe Gomes Dairy</t>
  </si>
  <si>
    <t>17265 Swanson RD Delhi Merced 95315</t>
  </si>
  <si>
    <t>Carlos and Deolinda Lopes Trust</t>
  </si>
  <si>
    <t>17273 W Cotton Gin RD Los Banos Merced 93635</t>
  </si>
  <si>
    <t>Nunes Dairy</t>
  </si>
  <si>
    <t>1730 S Healy RD Merced Merced 95340</t>
  </si>
  <si>
    <t>Ed Nunes Dairy</t>
  </si>
  <si>
    <t>17399 E Avena RD Escalon San Joaquin 95320</t>
  </si>
  <si>
    <t>Manuel &amp; Jeannette Borges Dairy #2</t>
  </si>
  <si>
    <t>17463 E Gawne RD Stockton San Joaquin 95215</t>
  </si>
  <si>
    <t>BWC Weststeyn Dairy LP</t>
  </si>
  <si>
    <t>1763 S Hewitt RD Linden San Joaquin 95236</t>
  </si>
  <si>
    <t>Dr. Jorge Duarte (previously Sousa Dairy)</t>
  </si>
  <si>
    <t>18005 Williams RD Hilmar Merced 95324</t>
  </si>
  <si>
    <t>Rodoni Dairy Farms, LP</t>
  </si>
  <si>
    <t>18037 S Center AVE Los Banos Merced 93635</t>
  </si>
  <si>
    <t>John &amp; Nicole Santos (Formerly Azevedo Dairy)</t>
  </si>
  <si>
    <t>18128 American AVE Hilmar Merced 95324</t>
  </si>
  <si>
    <t>Borba Cattle Company, LP</t>
  </si>
  <si>
    <t>18254 N First AVE Stevinson Merced 95374</t>
  </si>
  <si>
    <t>Brazil Dairy, LLC</t>
  </si>
  <si>
    <t>18338 E Mariposa RD Stockton San Joaquin 95215</t>
  </si>
  <si>
    <t>Joe O. Rocha Dairy, Inc.</t>
  </si>
  <si>
    <t>18451 W Bradbury RD Turlock Merced 95380</t>
  </si>
  <si>
    <t>Double Cross #2</t>
  </si>
  <si>
    <t>18637 E Bradbury RD Turlock Merced 95380</t>
  </si>
  <si>
    <t>Delta Woods Dairy</t>
  </si>
  <si>
    <t>18700 S Bacchetti RD Tracy San Joaquin 95304</t>
  </si>
  <si>
    <t>Van Exel Dairy #2</t>
  </si>
  <si>
    <t>18948 N Thornton RD Lodi San Joaquin 95242</t>
  </si>
  <si>
    <t>Hillcrest Dairy LLC</t>
  </si>
  <si>
    <t>1901 N Hayden RD Le Grand Merced 95333</t>
  </si>
  <si>
    <t>Double Cross #5</t>
  </si>
  <si>
    <t>19051 W Williams RD Hilmar Merced 95324</t>
  </si>
  <si>
    <t>Joe Oliveira Dairy</t>
  </si>
  <si>
    <t>19104 Crane AVE Hilmar Merced 95324</t>
  </si>
  <si>
    <t>R Doornenbal Dairy #1</t>
  </si>
  <si>
    <t>19116 Lone Tree RD Escalon San Joaquin 95320</t>
  </si>
  <si>
    <t>R Doornenbal Dairy #3</t>
  </si>
  <si>
    <t>19325 E Lone Tree RD Escalon San Joaquin 95320</t>
  </si>
  <si>
    <t>D&amp;M Ag</t>
  </si>
  <si>
    <t>1933 Hall Road Denair Stanislaus 95316</t>
  </si>
  <si>
    <t>Machado Dairy Farms #2</t>
  </si>
  <si>
    <t>19405 E Mariposa RD Stockton San Joaquin 95215</t>
  </si>
  <si>
    <t>Nelson Dairy</t>
  </si>
  <si>
    <t>19481 Geer AVE Hilmar Merced 95324</t>
  </si>
  <si>
    <t>KISST DAIRY #1</t>
  </si>
  <si>
    <t>20000 CEDAR AVE TRACY San Joaquin 95304</t>
  </si>
  <si>
    <t>Van Exel Dairy #1</t>
  </si>
  <si>
    <t>20002 N Thornton RD Lodi San Joaquin 95242</t>
  </si>
  <si>
    <t>ORNELLAS DAIRY 3</t>
  </si>
  <si>
    <t>20246 S LAMMERS RD TRACY San Joaquin 95304</t>
  </si>
  <si>
    <t>Vander Meulen Dairy</t>
  </si>
  <si>
    <t>20250 Avena RD Escalon San Joaquin 95320</t>
  </si>
  <si>
    <t>Live Oak H (Formerly Silveira Dairy Inc.)</t>
  </si>
  <si>
    <t>20271 Johnson AVE Hilmar Merced 95324</t>
  </si>
  <si>
    <t>GM Silva Dairies</t>
  </si>
  <si>
    <t>20316 Crane AVE Hilmar Merced 95324</t>
  </si>
  <si>
    <t>Gold Medal Ag, LLC #2</t>
  </si>
  <si>
    <t>20326 Johnson AVE Hilmar Merced 95324</t>
  </si>
  <si>
    <t>Oslo Dairy</t>
  </si>
  <si>
    <t>20334 W Oslo RD Hilmar Merced 95324</t>
  </si>
  <si>
    <t>Nyman Brothers Dairy</t>
  </si>
  <si>
    <t>20445 August AVE Hilmar Merced 95324</t>
  </si>
  <si>
    <t>Wagner Dairy #2</t>
  </si>
  <si>
    <t>20623 E Lone Tree RD Escalon San Joaquin 95320</t>
  </si>
  <si>
    <t>Crane Dairy LLC</t>
  </si>
  <si>
    <t>20633 W Crane AVE Hilmar Merced 95324</t>
  </si>
  <si>
    <t>ORNELLAS DAIRY 2</t>
  </si>
  <si>
    <t>20634 S LAMMERS RD TRACY San Joaquin 95304</t>
  </si>
  <si>
    <t>Valentine Dairy</t>
  </si>
  <si>
    <t>20717 Bloss AVE Hilmar Merced 95324</t>
  </si>
  <si>
    <t>Nylund Dairy Farms LLC</t>
  </si>
  <si>
    <t>20723 Geer AVE Hilmar Merced 95324</t>
  </si>
  <si>
    <t>ORNELLAS DAIRY 1</t>
  </si>
  <si>
    <t>20749 S LAMMERS RD TRACY San Joaquin 95304</t>
  </si>
  <si>
    <t>John Baptista Facility</t>
  </si>
  <si>
    <t>20755 W River RD Stevinson Merced 95374</t>
  </si>
  <si>
    <t>Double Cross #7 (Formerly Larry B. Peterson Dair</t>
  </si>
  <si>
    <t>20775 W American AVE Hilmar Merced 95324</t>
  </si>
  <si>
    <t>Kronberg Facility</t>
  </si>
  <si>
    <t>20777 Riverside AVE Hilmar Stanislaus 95324</t>
  </si>
  <si>
    <t>Live Oak Dairy</t>
  </si>
  <si>
    <t>21052 Johnson AVE Hilmar Merced 95324</t>
  </si>
  <si>
    <t>Double Cross #6 (Formerly Larry B. Peterson Dair</t>
  </si>
  <si>
    <t>21189 American AVE Hilmar Merced 95324</t>
  </si>
  <si>
    <t>Peter DeVisser Dairy</t>
  </si>
  <si>
    <t>21268 E Avena RD Escalon San Joaquin 95320</t>
  </si>
  <si>
    <t>Live Oak Dairy B</t>
  </si>
  <si>
    <t>21334 American AVE Hilmar Merced 95324</t>
  </si>
  <si>
    <t>Tiberio Azevedo Dairy</t>
  </si>
  <si>
    <t>21480 August AVE Hilmar Merced 95324</t>
  </si>
  <si>
    <t>5H Farms #2</t>
  </si>
  <si>
    <t>2163 Rahilly RD Merced Merced 95341</t>
  </si>
  <si>
    <t>Clauss Dairy Farms</t>
  </si>
  <si>
    <t>21670 W Bloss AVE Hilmar Merced 95324</t>
  </si>
  <si>
    <t>Brasil &amp; Sons Dairy # 2</t>
  </si>
  <si>
    <t>21728 Lone Tree RD Escalon San Joaquin 95320</t>
  </si>
  <si>
    <t>Joe Egli &amp; Sons Dairy</t>
  </si>
  <si>
    <t>21810 W August AVE Hilmar Merced 95324</t>
  </si>
  <si>
    <t>Hilmar Holsteins, Inc.</t>
  </si>
  <si>
    <t>21859 Crane AVE Hilmar Merced 95324</t>
  </si>
  <si>
    <t>Vaz Dairy</t>
  </si>
  <si>
    <t>21876 Sunset RD Los Banos Merced 93635</t>
  </si>
  <si>
    <t>B-6 Dairy</t>
  </si>
  <si>
    <t>22014 Turner AVE Hilmar Merced 95324</t>
  </si>
  <si>
    <t>Double D Dairy</t>
  </si>
  <si>
    <t>2207 Roberts RD Ceres Stanislaus 95307</t>
  </si>
  <si>
    <t>John Vieira Partnership</t>
  </si>
  <si>
    <t>22075 Lone Tree RD Escalon San Joaquin 95320</t>
  </si>
  <si>
    <t>Nunes Brothers, Inc.</t>
  </si>
  <si>
    <t>22116 W HWY 152 Los Banos Merced 93635</t>
  </si>
  <si>
    <t>Wagner Dairy L.P.</t>
  </si>
  <si>
    <t>22176 Skiff RD Escalon San Joaquin 95320</t>
  </si>
  <si>
    <t>County Line Cattle</t>
  </si>
  <si>
    <t>2222 S Healy RD Merced Merced 95341</t>
  </si>
  <si>
    <t>Broder Farms</t>
  </si>
  <si>
    <t>22245 August AVE Hillmar Merced 95324</t>
  </si>
  <si>
    <t>Sunwest Jersey Dairy</t>
  </si>
  <si>
    <t>22270 W Bloss AVE Hilmar Merced 95324</t>
  </si>
  <si>
    <t>Ken Van Foeken Dairy #1</t>
  </si>
  <si>
    <t>22338 Short RD Hilmar Merced 95324</t>
  </si>
  <si>
    <t>Sierra Vista Dairy</t>
  </si>
  <si>
    <t>22426 E Monte Vista AVE Denair Merced 95316</t>
  </si>
  <si>
    <t>Borba &amp; Sons (Formerly PMB Dairy)</t>
  </si>
  <si>
    <t>2248 W Service RD Modesto Stanislaus 95358</t>
  </si>
  <si>
    <t>D.V. Silveira &amp; Sons Dairy</t>
  </si>
  <si>
    <t>22578 Henry Miller RD Los Banos Merced 93635</t>
  </si>
  <si>
    <t>Live Oak D Dairy</t>
  </si>
  <si>
    <t>22651 W Williams RD Hilmar Merced 95324</t>
  </si>
  <si>
    <t>O/L Dairy</t>
  </si>
  <si>
    <t>22678 W Pioneer RD Los Banos Merced 93635</t>
  </si>
  <si>
    <t>Vierra Dairy Farms #2</t>
  </si>
  <si>
    <t>22682 W Williams AVE Hilmar Merced 95324</t>
  </si>
  <si>
    <t>California Dairy Farms - Stevinson (Formerly Rive</t>
  </si>
  <si>
    <t>22846 Second AVE Stevinson Merced 95374</t>
  </si>
  <si>
    <t>Rafael Pacheco Dairy</t>
  </si>
  <si>
    <t>22884 W Ingomar Grade RD Los Banos Merced 93635</t>
  </si>
  <si>
    <t>Moonshine Dairy</t>
  </si>
  <si>
    <t>22922 Kilburn RD Crows Landing Stanislaus 95313</t>
  </si>
  <si>
    <t>Edelweiss Dairy</t>
  </si>
  <si>
    <t>2306 W Fulkerth RD Crows Landing Stanislaus 95313</t>
  </si>
  <si>
    <t>Frank N. Rocha Dairy</t>
  </si>
  <si>
    <t>23125 E Lone Tree RD Escalon San Joaquin 95320</t>
  </si>
  <si>
    <t>CMC Jerseys, LLC (Formerly Seward Farms)</t>
  </si>
  <si>
    <t>23204 Bloss AVE Hilmar Merced 95324</t>
  </si>
  <si>
    <t>Creekside Dairy</t>
  </si>
  <si>
    <t>23234 Lone Tree RD Escalon San Joaquin 95320</t>
  </si>
  <si>
    <t>DeSnayer Dairy</t>
  </si>
  <si>
    <t>23243 N Rond RD Lodi San Joaquin 95242</t>
  </si>
  <si>
    <t>Rocking S Dairy #2</t>
  </si>
  <si>
    <t>2330 Ladd RD Modesto Stanislaus 95356</t>
  </si>
  <si>
    <t>Pedretti Ranches Inc.</t>
  </si>
  <si>
    <t>2331 E Roosevelt RD El Nido Merced 95317</t>
  </si>
  <si>
    <t>Charles Ahlem Ranch</t>
  </si>
  <si>
    <t>23546 W American AVE Hilmar Merced 95324</t>
  </si>
  <si>
    <t>California Dairy Farms-Howard</t>
  </si>
  <si>
    <t>2363 N Howard RD Livingston Merced 95334</t>
  </si>
  <si>
    <t>Pires Dairy</t>
  </si>
  <si>
    <t>23800 Jack Tone RD Acampo San Joaquin 95220</t>
  </si>
  <si>
    <t>DK Land LLC</t>
  </si>
  <si>
    <t>23844 E. Dodds RD Escalon San Joaquin 95320</t>
  </si>
  <si>
    <t>GJC Dairy #1</t>
  </si>
  <si>
    <t>2401 Newman RD Turlock Stanislaus 95380</t>
  </si>
  <si>
    <t>R &amp; S Dairy</t>
  </si>
  <si>
    <t>24065 E Arthur RD Escalon San Joaquin 95320</t>
  </si>
  <si>
    <t>Ahlem Farms Partnership</t>
  </si>
  <si>
    <t>24093 W American AVE Hilmar Merced 95324</t>
  </si>
  <si>
    <t>Dasilva Dairy Farms LLC #3</t>
  </si>
  <si>
    <t>24197 E Mariposa RD Escalon San Joaquin 95320</t>
  </si>
  <si>
    <t>Dasilva Dairy Farms LLC #2</t>
  </si>
  <si>
    <t>24628 E Mariposa RD Escalon San Joaquin 95320</t>
  </si>
  <si>
    <t>Mike Van Vliet / Skiff Ranch</t>
  </si>
  <si>
    <t>24323 E Skiff RD Escalon San Joaquin 95320</t>
  </si>
  <si>
    <t>Anchor J Dairy</t>
  </si>
  <si>
    <t>24507 W First ST Stevinson Merced 95374</t>
  </si>
  <si>
    <t>DS Farms LP</t>
  </si>
  <si>
    <t>24567 E Lone Tree RD Escalon San Joaquin 95320</t>
  </si>
  <si>
    <t>Koolhaas Dairy #2</t>
  </si>
  <si>
    <t>24544 E Lone Tree RD Escalon San Joaquin 95320</t>
  </si>
  <si>
    <t>Roest Family Dairy</t>
  </si>
  <si>
    <t>2472 Gates RD Modesto Stanislaus 95358</t>
  </si>
  <si>
    <t>Pareira Dairy</t>
  </si>
  <si>
    <t>2487 W Turlock RD Snelling Merced 95369</t>
  </si>
  <si>
    <t>Fagundes Bros. Dairy #1</t>
  </si>
  <si>
    <t>2510 Turlock RD Snelling Merced 95369</t>
  </si>
  <si>
    <t>Frank &amp; Carol Borba Dairy</t>
  </si>
  <si>
    <t>25381 E Dodds RD Escalon San Joaquin 95320</t>
  </si>
  <si>
    <t>Vierra Heifer Ranch</t>
  </si>
  <si>
    <t>25511 American AVE Hilmar Merced 95324</t>
  </si>
  <si>
    <t>Live Oak Dairy C</t>
  </si>
  <si>
    <t>25719 Hale RD Newman Stanislaus 95360</t>
  </si>
  <si>
    <t>Silva Brothers Dairy #2</t>
  </si>
  <si>
    <t>25723 N Elliott RD Galt San Joaquin 95632</t>
  </si>
  <si>
    <t>6D Dores Dairy</t>
  </si>
  <si>
    <t>25762 Turner AVE Hilmar Merced 95324</t>
  </si>
  <si>
    <t>Borges Dairy LLC (former John &amp; Teresa Borges</t>
  </si>
  <si>
    <t>25834 Kasson RD Tracy San Joaquin 95304</t>
  </si>
  <si>
    <t>John Brasil Dairy #1</t>
  </si>
  <si>
    <t>2613 S Mitchell RD Turlock Stanislaus 95380</t>
  </si>
  <si>
    <t>D &amp; D Holsteins</t>
  </si>
  <si>
    <t>26135 W Malta RD Gustine Merced 95322</t>
  </si>
  <si>
    <t>Nunes Heifers</t>
  </si>
  <si>
    <t>2618 E Reilly RD Merced Merced 95340</t>
  </si>
  <si>
    <t>PH RANCH #2</t>
  </si>
  <si>
    <t>2618 S Highway 59 Merced Merced 95340</t>
  </si>
  <si>
    <t>Toledo Dairy</t>
  </si>
  <si>
    <t>26280 N Elliott RD Galt Sacramento 95632</t>
  </si>
  <si>
    <t>David Machado (former F&amp;S Brasil Dairy)</t>
  </si>
  <si>
    <t>26230 S Union RD Manteca San Joaquin 95337</t>
  </si>
  <si>
    <t>Temple Creek Dairy, Inc.</t>
  </si>
  <si>
    <t>26250 Carter Road Escalon San Joaquin 95320</t>
  </si>
  <si>
    <t>Raymond and Sue Quaresma Dairy</t>
  </si>
  <si>
    <t>26290 S Union RD Manteca San Joaquin 95337</t>
  </si>
  <si>
    <t>Machado Dairy Farms #4</t>
  </si>
  <si>
    <t>26298 Groves RD Farmington San Joaquin 95230</t>
  </si>
  <si>
    <t>Andrew Zylstra Dairy 1</t>
  </si>
  <si>
    <t>2655 W Monte Vista AVE Modesto Stanislaus 95358</t>
  </si>
  <si>
    <t>Koolhaas Dairy</t>
  </si>
  <si>
    <t>26805 Dodds RD Escalon San Joaquin 95320</t>
  </si>
  <si>
    <t>Triple J Dairy #2</t>
  </si>
  <si>
    <t>26857 Ritz RD Acampo San Joaquin 95220</t>
  </si>
  <si>
    <t>Sited Oak Dairy</t>
  </si>
  <si>
    <t>26972 N Dustin RD Acampo San Joaquin 95220</t>
  </si>
  <si>
    <t>Mello Ranch</t>
  </si>
  <si>
    <t>27181 E Carter RD Escalon San Joaquin 95320</t>
  </si>
  <si>
    <t>Cardoso Dairy</t>
  </si>
  <si>
    <t>2720 Kenney AVE Winton Merced 95388</t>
  </si>
  <si>
    <t>DaSilva Dairy Farms LLC #1</t>
  </si>
  <si>
    <t>27398 E Dodds RD Escalon San Joaquin 95320</t>
  </si>
  <si>
    <t>Diamond O Dairy</t>
  </si>
  <si>
    <t>2743 Baker RD Modesto Stanislaus 95358</t>
  </si>
  <si>
    <t>Tony Lopes Dairy LP</t>
  </si>
  <si>
    <t>27500 W Bunker RD Gustine Merced 95322</t>
  </si>
  <si>
    <t>Frank Teicheira and Son</t>
  </si>
  <si>
    <t>27527 S Airport WAY Manteca San Joaquin 95337</t>
  </si>
  <si>
    <t>George teVelde Dairy Farm</t>
  </si>
  <si>
    <t>27815 E Dodds RD Escalon San Joaquin 95320</t>
  </si>
  <si>
    <t>Manuel &amp; Maria Silva Dairy #2</t>
  </si>
  <si>
    <t>2800 White RD Turlock Stanislaus 95380</t>
  </si>
  <si>
    <t>P&amp;D Dairy</t>
  </si>
  <si>
    <t>28209 Husman RD Gustine Merced 95322</t>
  </si>
  <si>
    <t>Martins View Jersey Dairy #2</t>
  </si>
  <si>
    <t>28336 W Bambauer RD Gustine Merced 95322</t>
  </si>
  <si>
    <t>P&amp;D Dairy North</t>
  </si>
  <si>
    <t>28366 Husman RD Gustine Merced 95322</t>
  </si>
  <si>
    <t>P&amp;D Dairy South</t>
  </si>
  <si>
    <t>28399 W Husman RD Gustine Merced 95322</t>
  </si>
  <si>
    <t>5N Cattle</t>
  </si>
  <si>
    <t>28470 W Cottonwood Rd Gustine Merced 95322</t>
  </si>
  <si>
    <t>Fagundes Bros. Dairy #3</t>
  </si>
  <si>
    <t>2852 Turlock RD Snelling Merced 95369</t>
  </si>
  <si>
    <t>Fred A Douma Dairy</t>
  </si>
  <si>
    <t>28524 S Kasson RD Tracy San Joaquin 95304</t>
  </si>
  <si>
    <t>P&amp;D West Dairy</t>
  </si>
  <si>
    <t>29631 Husman RD Gustine Merced 95322</t>
  </si>
  <si>
    <t>Manuel Mendes Dairy (Golden M)</t>
  </si>
  <si>
    <t>29744 Cottonwood RD Gustine Merced 95322</t>
  </si>
  <si>
    <t>River Oak Dairy</t>
  </si>
  <si>
    <t>29770 E Highway 4 Farmington San Joaquin 95230</t>
  </si>
  <si>
    <t>Rock-Shar Dairy</t>
  </si>
  <si>
    <t>3025 E Sandy Mush RD Merced Merced 95340</t>
  </si>
  <si>
    <t>A &amp; M de Sousa Dairy</t>
  </si>
  <si>
    <t>3030 S Central AVE Turlock Stanislaus 95380</t>
  </si>
  <si>
    <t>Bar Vee Dairy, Inc.</t>
  </si>
  <si>
    <t>3031 N Washington RD Turlock Stanislaus 95380</t>
  </si>
  <si>
    <t>Frank Azevedo II Dairy</t>
  </si>
  <si>
    <t>30711 Pfitzer RD Gustine Merced 95322</t>
  </si>
  <si>
    <t>Jim Vieira and Son Dairy #2</t>
  </si>
  <si>
    <t>3100 S Prairie Flower RD Turlock Stanislaus 95380</t>
  </si>
  <si>
    <t>Couchman Farms</t>
  </si>
  <si>
    <t>3107 Illinois AVE Modesto Stanislaus 95358</t>
  </si>
  <si>
    <t>G.J. Silva Dairy, Inc.</t>
  </si>
  <si>
    <t>3107 S Prairie Flower RD Turlock Stanislaus 95380</t>
  </si>
  <si>
    <t>T&amp;L Family Dairy, LLC</t>
  </si>
  <si>
    <t>3137 E Tuolumne RD Ceres Stanislaus 95307</t>
  </si>
  <si>
    <t>A &amp; C Vieira Dairy</t>
  </si>
  <si>
    <t>31503 County Road 26 Woodland Yolo 95695</t>
  </si>
  <si>
    <t>Morris Jersey Girls</t>
  </si>
  <si>
    <t>3230 Vivian RD Modesto Stanislaus 95358</t>
  </si>
  <si>
    <t>Willem Postma Dairy #2</t>
  </si>
  <si>
    <t>3250 Santa Fe AVE Modesto Stanislaus 95357</t>
  </si>
  <si>
    <t>Rocking S Dairy #1</t>
  </si>
  <si>
    <t>3301 Ladd RD Modesto Stanislaus 95356</t>
  </si>
  <si>
    <t>Couco Creek Dairy Inc.</t>
  </si>
  <si>
    <t>3303 S Washington RD Turlock Stanislaus 95380</t>
  </si>
  <si>
    <t>Valley Cross Dairy</t>
  </si>
  <si>
    <t>3307 S Blaker RD Turlock Stanislaus 95380</t>
  </si>
  <si>
    <t>Joe Meirinho and Son Dairy</t>
  </si>
  <si>
    <t>3354 W Whitmore Ave Modesto Stanislaus 95358</t>
  </si>
  <si>
    <t>Jelle Van Der Hoek</t>
  </si>
  <si>
    <t>337 Gates RD Modesto Stanislaus 95358</t>
  </si>
  <si>
    <t>Furtado Farms Inc.</t>
  </si>
  <si>
    <t>3449 Paradise RD Modesto Stanislaus 95358</t>
  </si>
  <si>
    <t>S&amp;S Dairy, Inc.</t>
  </si>
  <si>
    <t>348 E Monte Vista RD Ceres Stanislaus 95307</t>
  </si>
  <si>
    <t>Dutch Door Dairy</t>
  </si>
  <si>
    <t>3493 BVD RD Merced Merced 95341</t>
  </si>
  <si>
    <t>3 Machados Dairy</t>
  </si>
  <si>
    <t>3260 W Sandy Mush RD Merced Merced 95340</t>
  </si>
  <si>
    <t>Double D Dairy #2</t>
  </si>
  <si>
    <t>3636 E Monte Vista AVE Ceres Stanislaus 95307</t>
  </si>
  <si>
    <t>Double B Dairy #2</t>
  </si>
  <si>
    <t>3645 W Bradshaw RD Atwater Merced 95301</t>
  </si>
  <si>
    <t>Martins Dairy</t>
  </si>
  <si>
    <t>3319 Gates RD Modesto Stanislaus 95358</t>
  </si>
  <si>
    <t>Willem Postma Dairy #1</t>
  </si>
  <si>
    <t>3700 Claus RD Modesto Stanislaus 95357</t>
  </si>
  <si>
    <t>KMA Dairy</t>
  </si>
  <si>
    <t>3737 Weir RD Livingston Merced 95334</t>
  </si>
  <si>
    <t>Souza Brothers Dairy</t>
  </si>
  <si>
    <t>3887 McCullagh RD Stevinson Merced 95374</t>
  </si>
  <si>
    <t>J-S Jimenez Dairy</t>
  </si>
  <si>
    <t>3928 W Linwood AVE Turlock Stanislaus 95380</t>
  </si>
  <si>
    <t>Castelanelli Brothers Dairy</t>
  </si>
  <si>
    <t>401 W. Armstrong RD Lodi San Joaquin 95242</t>
  </si>
  <si>
    <t>Cross A Dairy</t>
  </si>
  <si>
    <t>4125 Bentley RD Oakdale Stanislaus 95361</t>
  </si>
  <si>
    <t>S &amp; V Cattle</t>
  </si>
  <si>
    <t>4206 Bentley RD Oakdale Stanislaus 95361</t>
  </si>
  <si>
    <t>Avis Dairy</t>
  </si>
  <si>
    <t>4400 Pt. Pleasant RD Elk Grove Sacramento 95757</t>
  </si>
  <si>
    <t>Gentle Breezes Dairy</t>
  </si>
  <si>
    <t>4419 S Faith Home RD Turlock Stanislaus 95380</t>
  </si>
  <si>
    <t>Brum de Visser Dairy</t>
  </si>
  <si>
    <t>4500 Albers Rd. RD Oakdale Stanislaus 95361</t>
  </si>
  <si>
    <t>Silveira Jerstein Dairy</t>
  </si>
  <si>
    <t>4628 County Road P Orland Glenn 95963</t>
  </si>
  <si>
    <t>Gerrit Hofman Dairy</t>
  </si>
  <si>
    <t>4820 Perrin RD Manteca San Joaquin 95337</t>
  </si>
  <si>
    <t>Edwin H. Smith and Sons Dairy</t>
  </si>
  <si>
    <t>4836 N Quincy RD Denair Stanislaus 95316</t>
  </si>
  <si>
    <t>Fiscalini Farms</t>
  </si>
  <si>
    <t>4848 Jackson RD Modesto Stanislaus 95358</t>
  </si>
  <si>
    <t>Meirinho Holsteins Inc</t>
  </si>
  <si>
    <t>4890 Healy RD Merced Merced 95341</t>
  </si>
  <si>
    <t>Hilltop Holsteins</t>
  </si>
  <si>
    <t>4900 E Dodds RD Oakdale Stanislaus 95361</t>
  </si>
  <si>
    <t>Michael Brasil Dairy #2</t>
  </si>
  <si>
    <t>4971 Van Clief RD Stevinson Merced 95374</t>
  </si>
  <si>
    <t>Alamo Farms</t>
  </si>
  <si>
    <t>5000 W Keyes RD Modesto Stanislaus 95358</t>
  </si>
  <si>
    <t>Ed Machado Dairy</t>
  </si>
  <si>
    <t>5001 Shiloh RD Modesto Stanislaus 95358</t>
  </si>
  <si>
    <t>MHF Dairy</t>
  </si>
  <si>
    <t>501 S Story RD Turlock Stanislaus 95380</t>
  </si>
  <si>
    <t>Red Rock Dairy</t>
  </si>
  <si>
    <t>5020 S Highway 59 Merced Merced 95340</t>
  </si>
  <si>
    <t>Double Diamond Dairy</t>
  </si>
  <si>
    <t>505 E Washington RD El Nido Merced 95317</t>
  </si>
  <si>
    <t>Bar Mac Dairy</t>
  </si>
  <si>
    <t>5070 S Hunt RD Gustine Merced 95322</t>
  </si>
  <si>
    <t>Hath Dairy</t>
  </si>
  <si>
    <t>508 W Roosevelt RD El Nido Merced 95317</t>
  </si>
  <si>
    <t>Borges Farms</t>
  </si>
  <si>
    <t>5148 W Grayson RD Modesto Stanislaus 95358</t>
  </si>
  <si>
    <t>Nutcher Farms, LLC</t>
  </si>
  <si>
    <t>5213 West Grayson RD Modesto Stanislaus 95358</t>
  </si>
  <si>
    <t>Eugenio Azevedo Dairy #1</t>
  </si>
  <si>
    <t>5217 Oak Avenue Merced Merced 95340</t>
  </si>
  <si>
    <t>Germano Soares dba Sandy Mush Crosses</t>
  </si>
  <si>
    <t>5241 W Sandy Mush RD Merced Merced 95340</t>
  </si>
  <si>
    <t>Blue Star Dairy</t>
  </si>
  <si>
    <t>5254 Blue Gum AVE Modesto Stanislaus 95358</t>
  </si>
  <si>
    <t>Borba Dairy Farms</t>
  </si>
  <si>
    <t>5297 Kelley RD Hilmar Merced 95324</t>
  </si>
  <si>
    <t>Langworth Dairy</t>
  </si>
  <si>
    <t>5306 Langworth RD Oakdale Stanislaus 95361</t>
  </si>
  <si>
    <t>A &amp; M Azevedo Dairy</t>
  </si>
  <si>
    <t>5454 W Keyes RD Modesto Stanislaus 95358</t>
  </si>
  <si>
    <t>Dutra Farms, Inc.</t>
  </si>
  <si>
    <t>5496 W Ripon RD Manteca San Joaquin 95337</t>
  </si>
  <si>
    <t>Homen Dairy Farms</t>
  </si>
  <si>
    <t>5511 W Sandy Mush RD Merced Merced 95341-8404</t>
  </si>
  <si>
    <t>King Dairy</t>
  </si>
  <si>
    <t>5524 S Central AVE Turlock Stanislaus 95380</t>
  </si>
  <si>
    <t>J-D Brasil Dairy</t>
  </si>
  <si>
    <t>5600 Clayton RD Turlock Stanislaus 95380</t>
  </si>
  <si>
    <t>Silva Bros # 3</t>
  </si>
  <si>
    <t>5601 Escalon-Bellota RD Farmington San Joaquin 95320</t>
  </si>
  <si>
    <t>Sallaberry Ranch</t>
  </si>
  <si>
    <t>5608 S Morgan RD Turlock Stanislaus 95380</t>
  </si>
  <si>
    <t>Wickstrom Jersey Farms</t>
  </si>
  <si>
    <t>5638 Columbus AVE Hilmar Merced 95324</t>
  </si>
  <si>
    <t>Lemos Jerseys</t>
  </si>
  <si>
    <t>5712 N Hickman RD Denair Stanislaus 95316</t>
  </si>
  <si>
    <t>Ehrlich Dairy/Azevedo Farms</t>
  </si>
  <si>
    <t>5725 Ehrlich RD Turlock Stanislaus 95380</t>
  </si>
  <si>
    <t>Double B Dairy</t>
  </si>
  <si>
    <t>5817 E Worden AVE Merced Merced 95340</t>
  </si>
  <si>
    <t>Kooistra Dairy</t>
  </si>
  <si>
    <t>5837 Hultberg RD Turlock Stanislaus 95380</t>
  </si>
  <si>
    <t>Manuel Vieira Jr. Dairy</t>
  </si>
  <si>
    <t>5843 N Utah RD Merced Merced 95348</t>
  </si>
  <si>
    <t>Five H Farms</t>
  </si>
  <si>
    <t>5851 S Highway 59 Merced Merced 95340</t>
  </si>
  <si>
    <t>Nelson Farms</t>
  </si>
  <si>
    <t>5931 W Tuolumne RD Ceres Stanislaus 95307</t>
  </si>
  <si>
    <t>Diamond S. Ranch, Inc.</t>
  </si>
  <si>
    <t>600 Roberts Ferry RD Waterford Stanislaus 95386</t>
  </si>
  <si>
    <t>Double D Dairy #3</t>
  </si>
  <si>
    <t>6001 W Zeering RD Ceres Stanislaus 95307</t>
  </si>
  <si>
    <t>Double Cross Dairy #4</t>
  </si>
  <si>
    <t>6006 S Central AVE Turlock Stanislaus 95380</t>
  </si>
  <si>
    <t>N &amp; C Silveira Dairy</t>
  </si>
  <si>
    <t>6025 Hultberg RD Turlock Stanislaus 95380</t>
  </si>
  <si>
    <t>Jordao Dairy</t>
  </si>
  <si>
    <t>6025 S Central AVE Turlock Stanislaus 95380</t>
  </si>
  <si>
    <t>Martins Brothers Dairy</t>
  </si>
  <si>
    <t>6041 Central AVE Hilmar Merced 95324</t>
  </si>
  <si>
    <t>Peder Hoy Dairy</t>
  </si>
  <si>
    <t>6042 California AVE Modesto Stanislaus 95358</t>
  </si>
  <si>
    <t>Dirk Hofman (former F&amp;S Brasil #2)</t>
  </si>
  <si>
    <t>6052 Trahern RD Manteca San Joaquin 95337</t>
  </si>
  <si>
    <t>California Dairy Farms - Larson</t>
  </si>
  <si>
    <t>6071 Larson AVE Hilmar Merced 95324</t>
  </si>
  <si>
    <t>Toste Dairy</t>
  </si>
  <si>
    <t>609 Santa Fe Grade Newman Merced 95360</t>
  </si>
  <si>
    <t>Martin Land &amp; Cattle</t>
  </si>
  <si>
    <t>6100 Hinds RD Oakdale Stanislaus 95361</t>
  </si>
  <si>
    <t>Verissimo Dairy Facility</t>
  </si>
  <si>
    <t>6125 S Central RD Turlock Stanislaus 95380</t>
  </si>
  <si>
    <t>Lorinda / Machado / Azevedo Farms</t>
  </si>
  <si>
    <t>619 S. Vincent Road Turlock Stanislaus 95380</t>
  </si>
  <si>
    <t>AJ Borba Holsteins</t>
  </si>
  <si>
    <t>6275 Mitchell RD Hilmar Merced 95324</t>
  </si>
  <si>
    <t>Arlinda Holsteins</t>
  </si>
  <si>
    <t>6325 West main ST Turlock Stanislaus 95380</t>
  </si>
  <si>
    <t>PH Ranch</t>
  </si>
  <si>
    <t>6335 W Oakdale RD Winton Merced 95388</t>
  </si>
  <si>
    <t>Ahlem Farms Vista</t>
  </si>
  <si>
    <t>6401 Taylor RD Denair Stanislaus 95316</t>
  </si>
  <si>
    <t>Tony &amp; Fatima Garcia Dairy</t>
  </si>
  <si>
    <t>6455 California AVE Modesto Stanislaus 95358</t>
  </si>
  <si>
    <t>J &amp; J De Raadt Dairy</t>
  </si>
  <si>
    <t>6460 Smith RD Oakdale Stanislaus 95361</t>
  </si>
  <si>
    <t>Twin Star Dairy</t>
  </si>
  <si>
    <t>6480 W Bailey AVE Atwater Merced 95301</t>
  </si>
  <si>
    <t>Tony Morris Dairy</t>
  </si>
  <si>
    <t>6506 Vivian RD Modesto Stanislaus 95358</t>
  </si>
  <si>
    <t>Double G Dairy</t>
  </si>
  <si>
    <t>6555 Blue Gum AVE Modesto Stanislaus 95358</t>
  </si>
  <si>
    <t>Carlos C. Lourenco Dairy</t>
  </si>
  <si>
    <t>6557 Oak AVE Merced Merced 95340</t>
  </si>
  <si>
    <t>Dewit Dairy</t>
  </si>
  <si>
    <t>6610 E Collier RD Acampo San Joaquin 95220</t>
  </si>
  <si>
    <t>Crane Villa Dairy</t>
  </si>
  <si>
    <t>6624 Crane RD Oakdale Stanislaus 95361</t>
  </si>
  <si>
    <t>Dairy Central</t>
  </si>
  <si>
    <t>6626 N Central AVE Hilmar Merced 95324</t>
  </si>
  <si>
    <t>R.E.L.M Dairy</t>
  </si>
  <si>
    <t>6721 E Perrin RD Manteca San Joaquin 95337</t>
  </si>
  <si>
    <t>Kooyman and Son Dairy</t>
  </si>
  <si>
    <t>6787 E Jahant RD Acampo San Joaquin 95220</t>
  </si>
  <si>
    <t>Full Circle Dairy</t>
  </si>
  <si>
    <t>6800 East AVE Ballico Merced 95303</t>
  </si>
  <si>
    <t>Joe Simoes &amp; Sons Dairy Inc.</t>
  </si>
  <si>
    <t>6900 Lambert RD Elk Grove Sacramento 95757</t>
  </si>
  <si>
    <t>MTSJ Dairy LP</t>
  </si>
  <si>
    <t>6916 County Road 30 Orland Glenn 95963</t>
  </si>
  <si>
    <t>Larry Inderbitzen Dairy</t>
  </si>
  <si>
    <t>6930 Paradise RD Modesto Stanislaus 95358</t>
  </si>
  <si>
    <t>Ackerman Dairy Inc</t>
  </si>
  <si>
    <t>6942 S Central AVE Ceres Stanislaus 95307</t>
  </si>
  <si>
    <t>6-X #2</t>
  </si>
  <si>
    <t>6960 Crane RD Oakdale Stanislaus 95361</t>
  </si>
  <si>
    <t>Manuel Soares &amp; Sons Dairy</t>
  </si>
  <si>
    <t>7018 Vivian RD Modesto Stanislaus 95358</t>
  </si>
  <si>
    <t>Double Cross Dairy</t>
  </si>
  <si>
    <t>7025 W Central AVE Turlock Stanislaus 95380</t>
  </si>
  <si>
    <t>Lumar Dairy Farms</t>
  </si>
  <si>
    <t>7215 S Prairie Flower RD Turlock Stanislaus 95380</t>
  </si>
  <si>
    <t>Pinnacle Dairy L.P.</t>
  </si>
  <si>
    <t>724 Ruble RD Crows Landing Stanislaus 95313</t>
  </si>
  <si>
    <t>Trinkler Dairy Farms Inc.</t>
  </si>
  <si>
    <t>7251 Crows Landing RD Ceres Stanislaus 95307</t>
  </si>
  <si>
    <t>Clarot Farms Inc.</t>
  </si>
  <si>
    <t>7260 Carpenter RD Modesto Stanislaus 95358</t>
  </si>
  <si>
    <t>Live Oak Dairy G</t>
  </si>
  <si>
    <t>730 Bystrum RD Turlock Stanislaus 95380</t>
  </si>
  <si>
    <t>James J. Oliveira</t>
  </si>
  <si>
    <t>730 W Monte Vista Ceres Stanislaus 95307</t>
  </si>
  <si>
    <t>Wyeth Dairy, Inc.</t>
  </si>
  <si>
    <t>7319 Beckwith RD Modesto Stanislaus 95358</t>
  </si>
  <si>
    <t>Beglinger Dairy</t>
  </si>
  <si>
    <t>7329 County Road 16 Orland Glenn 95963</t>
  </si>
  <si>
    <t>Machado Dairy</t>
  </si>
  <si>
    <t>7413 S Mitchell RD Turlock Stanislaus 95380</t>
  </si>
  <si>
    <t>Milk Made Dairy</t>
  </si>
  <si>
    <t>7509 W Oakdale RD Snelling Merced 95369</t>
  </si>
  <si>
    <t>Teresi Farms (formerly Triple J)</t>
  </si>
  <si>
    <t>7575 N Live Oak RD Lodi San Joaquin 95240</t>
  </si>
  <si>
    <t>Machado-Kindberg</t>
  </si>
  <si>
    <t>7706 Tegner RD Hilmar Merced 95324</t>
  </si>
  <si>
    <t>L&amp;L Pires Dairy</t>
  </si>
  <si>
    <t>7713 Maze BLVD Modesto Stanislaus 95358</t>
  </si>
  <si>
    <t>Andrew Zylstra Dairy 2</t>
  </si>
  <si>
    <t>7855 S Carpenter RD Modesto Stanislaus 95358</t>
  </si>
  <si>
    <t>De Jager Farms South</t>
  </si>
  <si>
    <t>8002 S Bliss RD Chowchilla Merced 93610</t>
  </si>
  <si>
    <t>Ulys Dairy</t>
  </si>
  <si>
    <t>8118 Sikes RD Dixon Solano 95620</t>
  </si>
  <si>
    <t>Arnaldo P. &amp; Maria E. Avila Dairy</t>
  </si>
  <si>
    <t>8178 Paradise RD Modesto Stanislaus 95358</t>
  </si>
  <si>
    <t>Double D Dairy #4 (former Diamond B Dairy #3)</t>
  </si>
  <si>
    <t>8201 Mitchell RD Ceres Stanislaus 95307</t>
  </si>
  <si>
    <t>Joe Henriques Dairy</t>
  </si>
  <si>
    <t>8255 Maze BLVD Modesto Stanislaus 95358</t>
  </si>
  <si>
    <t>Frank J. Bettencourt &amp; Sons</t>
  </si>
  <si>
    <t>8331 Central AVE Ceres Stanislaus 95307</t>
  </si>
  <si>
    <t>De Carvalho Bros. Dairy</t>
  </si>
  <si>
    <t>8342 Maze BLVD Modesto Stanislaus 95358</t>
  </si>
  <si>
    <t>AM3 Dairy</t>
  </si>
  <si>
    <t>836 W Linwood AVE Crows Landing Stanislaus 95313</t>
  </si>
  <si>
    <t>Duarte Acres Holsteins</t>
  </si>
  <si>
    <t>8413 Faith Home RD Ceres Stanislaus 95307</t>
  </si>
  <si>
    <t>CV 2</t>
  </si>
  <si>
    <t>843 Helena AVE Waterford Stanislaus 95386</t>
  </si>
  <si>
    <t>Live Oak Dairy E</t>
  </si>
  <si>
    <t>8450 S Hwy 33 Gustine Merced 95322</t>
  </si>
  <si>
    <t>Seifert Dairy Farms</t>
  </si>
  <si>
    <t>8505 E Collier RD Acampo San Joaquin 95220</t>
  </si>
  <si>
    <t>Rivercrest Cattle Co.</t>
  </si>
  <si>
    <t>8600 Dos Rios LN Modesto Stanislaus 95358</t>
  </si>
  <si>
    <t>Tierra Buena Ranch</t>
  </si>
  <si>
    <t>8632 W Meadow DR Winton Merced 95388</t>
  </si>
  <si>
    <t>Vista Verde Dairy</t>
  </si>
  <si>
    <t>8923 Bliss RD Chowchilla Merced 93610</t>
  </si>
  <si>
    <t>8940 E Melton RD Manteca San Joaquin 95337</t>
  </si>
  <si>
    <t>Terra Dairy</t>
  </si>
  <si>
    <t>8988 W Meadow DR Winton Merced 95388</t>
  </si>
  <si>
    <t>John Brasil Dairy #2</t>
  </si>
  <si>
    <t>9018 W Linwood AVE Turlock Stanislaus 95380</t>
  </si>
  <si>
    <t>River Oak Dairy #2</t>
  </si>
  <si>
    <t>9161 Warnerville RD Oakdale Stanislaus 95361</t>
  </si>
  <si>
    <t>T &amp; C Louters Dairy</t>
  </si>
  <si>
    <t>921 W Sandy Mush RD Merced Merced 95341</t>
  </si>
  <si>
    <t>Double D Jerseys</t>
  </si>
  <si>
    <t>937 El Katrina LN Ceres Stanislaus 95307</t>
  </si>
  <si>
    <t>Ken VanFoeken Dairy #2</t>
  </si>
  <si>
    <t>9375 N Washington RD Hilmar Merced 95324</t>
  </si>
  <si>
    <t>TH Mello &amp; Sons Dairy #1</t>
  </si>
  <si>
    <t>9390 Harvey RD Galt Sacramento 95632</t>
  </si>
  <si>
    <t>Vitorino Dairy (Caetano Dairy Facility)</t>
  </si>
  <si>
    <t>9436 Griffith AVE Delhi Merced 95315</t>
  </si>
  <si>
    <t>Gold Medal Ag #1</t>
  </si>
  <si>
    <t>9483 Columbus AVE Hilmar Merced 95324</t>
  </si>
  <si>
    <t>9500 Linwood AVE Turlock Stanislaus 95380</t>
  </si>
  <si>
    <t>New Hope Dairy</t>
  </si>
  <si>
    <t>9547 New Hope RD Galt Sacramento 95632</t>
  </si>
  <si>
    <t>B &amp; D Dairy</t>
  </si>
  <si>
    <t>9579 Hultberg RD Hilmar Merced 95324</t>
  </si>
  <si>
    <t>Vieira Dairy Farm</t>
  </si>
  <si>
    <t>9701 Atwater Jordan Road Atwater Merced 95301</t>
  </si>
  <si>
    <t>Gomes Dairy</t>
  </si>
  <si>
    <t>9735 Washington RD Hilmar Merced 95324</t>
  </si>
  <si>
    <t>6-X Dairy</t>
  </si>
  <si>
    <t>9848 Milnes RD Modesto Stanislaus 95357</t>
  </si>
  <si>
    <t>E.R. Prins Dairy #2</t>
  </si>
  <si>
    <t>9863 S Van Allen RD Stockton San Joaquin 95215</t>
  </si>
  <si>
    <t>B &amp; J Dairy</t>
  </si>
  <si>
    <t>9950 Arno RD Galt Sacramento 95632</t>
  </si>
  <si>
    <t>Alta Sierra Dairy</t>
  </si>
  <si>
    <t>7901 368 AVE Dinuba Tulare 93618</t>
  </si>
  <si>
    <t>Arthur Leyendekker Dairy</t>
  </si>
  <si>
    <t>9001 Ave. 360 Visalia Tulare 93291</t>
  </si>
  <si>
    <t>Ben Mendonca &amp; Family Dairy</t>
  </si>
  <si>
    <t>19517 Road 124 RD Tulare Tulare 93274</t>
  </si>
  <si>
    <t>Borba Dairy</t>
  </si>
  <si>
    <t>14836 Road 200 RD Porterville Tulare 93257</t>
  </si>
  <si>
    <t>Bos Farms LP</t>
  </si>
  <si>
    <t>15085 208 AVE Tulare Tulare 93274</t>
  </si>
  <si>
    <t>Diamond L Dairy</t>
  </si>
  <si>
    <t>14229 228 AVE Tulare Tulare 93274</t>
  </si>
  <si>
    <t>15276 Ivanhoe DR Visalia Tulare 93292</t>
  </si>
  <si>
    <t>Double Oak Dairy</t>
  </si>
  <si>
    <t>3573 E Oakdale AVE Tulare Tulare 93274</t>
  </si>
  <si>
    <t>Fernjo Dairy #1</t>
  </si>
  <si>
    <t>23135 Road 148 RD Tulare Tulare 93274</t>
  </si>
  <si>
    <t>Fernjo #2</t>
  </si>
  <si>
    <t>12131 Avenue 200 AVE Tulare Tulare 93274</t>
  </si>
  <si>
    <t>Fernjo Dairy #3</t>
  </si>
  <si>
    <t>14213 Avenue 232 AVE Tulare Tulare 93274</t>
  </si>
  <si>
    <t>Fernjo Heifers</t>
  </si>
  <si>
    <t>14428 Avenue 232 AVE Tulare Tulare 93274</t>
  </si>
  <si>
    <t>Hettinga Farms</t>
  </si>
  <si>
    <t>13400 Avenue 120 Pixley Tulare 93256</t>
  </si>
  <si>
    <t>Hoppy Cows</t>
  </si>
  <si>
    <t>7435 Avenue 360 Kingsburg Tulare 93631</t>
  </si>
  <si>
    <t>Lerda-Goni Farms</t>
  </si>
  <si>
    <t>18797 Road 142 Tulare Tulare 93274</t>
  </si>
  <si>
    <t>Little H Dairy</t>
  </si>
  <si>
    <t>15804 Avenue 248 Visalia Tulare 93292</t>
  </si>
  <si>
    <t>Mancebo Holsteins</t>
  </si>
  <si>
    <t>14891 Avenue 232 AVE Tulare Tulare 93274</t>
  </si>
  <si>
    <t>Mancebo Holsteins #2</t>
  </si>
  <si>
    <t>23792 Road 140 RD Tulare Tulare 93274</t>
  </si>
  <si>
    <t>Mario Simoes Family Dairy</t>
  </si>
  <si>
    <t>13185 Ave. 136 Tipton Tulare 93272</t>
  </si>
  <si>
    <t>Martin Ranch</t>
  </si>
  <si>
    <t>14861 Ave. 144 Tipton Tulare 93272</t>
  </si>
  <si>
    <t>Milky Way Dairy</t>
  </si>
  <si>
    <t>34800 80 RD Visalia Tulare 93291</t>
  </si>
  <si>
    <t>North Ridge Farms</t>
  </si>
  <si>
    <t>18591 Ave. 192 Strathmore Tulare 93267</t>
  </si>
  <si>
    <t>Nunes &amp; Sons Dairy Inc.</t>
  </si>
  <si>
    <t>26946 Rd. 108 Visalia Tulare 93277</t>
  </si>
  <si>
    <t>Nunes Brothers Dairy</t>
  </si>
  <si>
    <t>20439 Road 124 RD Tulare Tulare 93274</t>
  </si>
  <si>
    <t>Pacheco &amp; Fagundes Dairy</t>
  </si>
  <si>
    <t>23388 Road 180 Lindsay Tulare 93247</t>
  </si>
  <si>
    <t>Rancho Teresita Dairy #3</t>
  </si>
  <si>
    <t>12671 Avenue 200 Tulare Tulare 93274</t>
  </si>
  <si>
    <t>Rib Arrow Dairy</t>
  </si>
  <si>
    <t>18287 Road 136 RD Tulare Tulare 93274</t>
  </si>
  <si>
    <t>Ribeiro Dairy Farm</t>
  </si>
  <si>
    <t>17983 Road 128 RD Tulare Tulare 93274</t>
  </si>
  <si>
    <t>Rocky Road Dairy</t>
  </si>
  <si>
    <t>8609 Avenue 368 AVE Dinuba Tulare 93618</t>
  </si>
  <si>
    <t>Sepeda Bros. Dairy</t>
  </si>
  <si>
    <t>18316 128 RD Tulare Tulare 93274</t>
  </si>
  <si>
    <t>Sousa Dairy</t>
  </si>
  <si>
    <t>7709 Ave 376 Dinuba Tulare 93618</t>
  </si>
  <si>
    <t>Sunrise Dairy</t>
  </si>
  <si>
    <t>8022 368 AVE Dinuba Tulare 93618</t>
  </si>
  <si>
    <t>T-Bar Dairy</t>
  </si>
  <si>
    <t>14851 Road 168 Porterville Tulare 93257</t>
  </si>
  <si>
    <t>Tristar Dairy</t>
  </si>
  <si>
    <t>12212 Avenue 176 AVE Tulare Tulare 93274</t>
  </si>
  <si>
    <t>Van Beek Brothers Dairy</t>
  </si>
  <si>
    <t>14808 Road 152 Tipton Tulare 93272</t>
  </si>
  <si>
    <t>Vida Boa Dairy #2</t>
  </si>
  <si>
    <t>15011 Avenue 240 Tulare Tulare 93274</t>
  </si>
  <si>
    <t>Vida Boa Dairy #1</t>
  </si>
  <si>
    <t>15125 Avenue 240 AVE Tulare Tulare 93274</t>
  </si>
  <si>
    <t>White Gold Dairy</t>
  </si>
  <si>
    <t>18357 Avenue 152 Porterville Tulare 93257</t>
  </si>
  <si>
    <t>Aukeman Farms</t>
  </si>
  <si>
    <t>17297 Road 96 Tulare Tulare 93274</t>
  </si>
  <si>
    <t>Channel Islands Dairy Farms</t>
  </si>
  <si>
    <t>13406 Road 24 Corcoran Tulare 93212</t>
  </si>
  <si>
    <t>Coronado Dairy Farms, LLC</t>
  </si>
  <si>
    <t>5850 160 AVE Tipton Tulare 93272</t>
  </si>
  <si>
    <t>Curtimade Dairy Inc.</t>
  </si>
  <si>
    <t>18337 Road 24 Tulare Tulare 93274</t>
  </si>
  <si>
    <t>Delta View Farms #3</t>
  </si>
  <si>
    <t>4590 Avenue 304 Visalia Tulare 93291</t>
  </si>
  <si>
    <t>Dixie Creek South</t>
  </si>
  <si>
    <t>24116 28 RD Tulare Tulare 93274</t>
  </si>
  <si>
    <t>Edwin Brasil Dairy</t>
  </si>
  <si>
    <t>29134 Road 56 Visalia Tulare 93277</t>
  </si>
  <si>
    <t>El Monte Dairy</t>
  </si>
  <si>
    <t>10410 Avenue 160 Tipton Tulare 93272</t>
  </si>
  <si>
    <t>Frank C. Lawrence Dairy</t>
  </si>
  <si>
    <t>27476 Road 52 Visalia Tulare 93277</t>
  </si>
  <si>
    <t>Horizon Jersey's</t>
  </si>
  <si>
    <t>8798 Avenue 160 AVE Tipton Tulare 93272</t>
  </si>
  <si>
    <t>JNA Dairy</t>
  </si>
  <si>
    <t>6323 Avenue 280 AVE Visalia Tulare 93277</t>
  </si>
  <si>
    <t>Kroes Limited Dairy</t>
  </si>
  <si>
    <t>15506 Road 80 RD Tipton Tulare 93272</t>
  </si>
  <si>
    <t>LK Ranches</t>
  </si>
  <si>
    <t>29007 Road 56 Visalia Tulare 93277</t>
  </si>
  <si>
    <t>Riverview Dairy</t>
  </si>
  <si>
    <t>9295 Avenue 88 Pixley Tulare 93256</t>
  </si>
  <si>
    <t>S &amp; S Dairy</t>
  </si>
  <si>
    <t>5311 Avenue 272 Visalia Tulare 93277</t>
  </si>
  <si>
    <t>Scheenstra Dairy</t>
  </si>
  <si>
    <t>16800 Rd 96 Tipton Tulare 93272</t>
  </si>
  <si>
    <t>West Tulare Ag Holdings</t>
  </si>
  <si>
    <t>6305 Avenue 176 Tulare Tulare 93274</t>
  </si>
  <si>
    <t>Sunnyvale Dairy</t>
  </si>
  <si>
    <t>2608 Avenue 199 Tulare Tulare 93274</t>
  </si>
  <si>
    <t>Crystal View Dairy</t>
  </si>
  <si>
    <t>29401 Road 68 Visalia Tulare 93291</t>
  </si>
  <si>
    <t>4 Star #4</t>
  </si>
  <si>
    <t>20433 28 RD Tulare Tulare 93274</t>
  </si>
  <si>
    <t>4 Star #3 Dairy</t>
  </si>
  <si>
    <t>2393 224 AVE Tulare Tulare 93274</t>
  </si>
  <si>
    <t>TONY COX DAIRY #2</t>
  </si>
  <si>
    <t>27596 Road 68 Visalia Tulare 93277</t>
  </si>
  <si>
    <t>Supreme Farms LLC</t>
  </si>
  <si>
    <t>2785 N Colpien Tulare Tulare 93274</t>
  </si>
  <si>
    <t>Mattos Bros. #2 (rental) Joseph Bakker</t>
  </si>
  <si>
    <t>22901 28 RD Tulare Tulare 93274</t>
  </si>
  <si>
    <t>Mattos Brothers #3</t>
  </si>
  <si>
    <t>3912 Avenue 232 Tulare Tulare 93274</t>
  </si>
  <si>
    <t>Ron Verhoeven Family Dairy</t>
  </si>
  <si>
    <t>4975 Ave 120 Corcoran Tulare 93212</t>
  </si>
  <si>
    <t>Airoso Dairy</t>
  </si>
  <si>
    <t>18809 Road 64 Tulare Tulare 93274</t>
  </si>
  <si>
    <t>Adriano Nunes &amp; Son Dairy-Farming</t>
  </si>
  <si>
    <t>18675 32 RD Tulare Tulare 93274</t>
  </si>
  <si>
    <t>Total Manure Generated</t>
  </si>
  <si>
    <t>tons</t>
  </si>
  <si>
    <t>Total Manure N Generated</t>
  </si>
  <si>
    <t>lbs</t>
  </si>
  <si>
    <t>US tons</t>
  </si>
  <si>
    <t>Total Dry Manure N After NH3 Losses</t>
  </si>
  <si>
    <t>% of Manure that is N</t>
  </si>
  <si>
    <t>%</t>
  </si>
  <si>
    <t>Total N Ammonia Losses from Manure</t>
  </si>
  <si>
    <t>Weight of Ammonia Lost</t>
  </si>
  <si>
    <t>NH3 Molar Mass</t>
  </si>
  <si>
    <t>g/mol</t>
  </si>
  <si>
    <t>H Molar Mass</t>
  </si>
  <si>
    <t>N Molar Mass</t>
  </si>
  <si>
    <t>N mass fraction in NH3</t>
  </si>
  <si>
    <t>NH3 Mass Lost from Manure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</si>
</sst>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B40F-F1E2-4B40-9E27-B57DFB90C15C}">
  <dimension ref="A1:BC589"/>
  <sheetViews>
    <sheetView tabSelected="1" topLeftCell="C1" workbookViewId="0">
      <pane xSplit="8" ySplit="18" topLeftCell="K19" activePane="bottomRight" state="frozen"/>
      <selection activeCell="C1" sqref="C1"/>
      <selection pane="topRight" activeCell="K1" sqref="K1"/>
      <selection pane="bottomLeft" activeCell="C19" sqref="C19"/>
      <selection pane="bottomRight" activeCell="H23" sqref="H23"/>
    </sheetView>
  </sheetViews>
  <sheetFormatPr baseColWidth="10" defaultRowHeight="16" x14ac:dyDescent="0.2"/>
  <cols>
    <col min="1" max="1" width="41.33203125" bestFit="1" customWidth="1"/>
    <col min="2" max="2" width="48.5" bestFit="1" customWidth="1"/>
    <col min="3" max="3" width="9.33203125" bestFit="1" customWidth="1"/>
    <col min="4" max="4" width="8.83203125" bestFit="1" customWidth="1"/>
    <col min="5" max="5" width="11.1640625" bestFit="1" customWidth="1"/>
    <col min="6" max="6" width="7" bestFit="1" customWidth="1"/>
    <col min="7" max="8" width="14.33203125" bestFit="1" customWidth="1"/>
    <col min="9" max="9" width="13.1640625" bestFit="1" customWidth="1"/>
    <col min="10" max="10" width="24.6640625" bestFit="1" customWidth="1"/>
    <col min="11" max="11" width="30" bestFit="1" customWidth="1"/>
    <col min="12" max="12" width="48.33203125" bestFit="1" customWidth="1"/>
    <col min="13" max="14" width="29.6640625" bestFit="1" customWidth="1"/>
    <col min="15" max="15" width="32" bestFit="1" customWidth="1"/>
    <col min="16" max="16" width="36.5" bestFit="1" customWidth="1"/>
    <col min="17" max="17" width="37.5" bestFit="1" customWidth="1"/>
    <col min="18" max="19" width="37.1640625" bestFit="1" customWidth="1"/>
    <col min="20" max="20" width="39.33203125" bestFit="1" customWidth="1"/>
    <col min="21" max="21" width="37.1640625" bestFit="1" customWidth="1"/>
    <col min="22" max="22" width="22.83203125" bestFit="1" customWidth="1"/>
    <col min="23" max="24" width="22.5" bestFit="1" customWidth="1"/>
    <col min="25" max="25" width="24.6640625" bestFit="1" customWidth="1"/>
    <col min="26" max="26" width="30.1640625" bestFit="1" customWidth="1"/>
    <col min="27" max="28" width="29.83203125" bestFit="1" customWidth="1"/>
    <col min="29" max="29" width="32.1640625" bestFit="1" customWidth="1"/>
    <col min="30" max="30" width="22.6640625" bestFit="1" customWidth="1"/>
    <col min="31" max="32" width="22.33203125" bestFit="1" customWidth="1"/>
    <col min="33" max="33" width="24.5" bestFit="1" customWidth="1"/>
    <col min="34" max="34" width="17.33203125" bestFit="1" customWidth="1"/>
    <col min="35" max="36" width="17" bestFit="1" customWidth="1"/>
    <col min="37" max="37" width="19.1640625" bestFit="1" customWidth="1"/>
    <col min="38" max="38" width="17.33203125" bestFit="1" customWidth="1"/>
    <col min="39" max="40" width="17" bestFit="1" customWidth="1"/>
    <col min="41" max="41" width="19.1640625" bestFit="1" customWidth="1"/>
    <col min="42" max="42" width="20.6640625" bestFit="1" customWidth="1"/>
    <col min="43" max="44" width="20.33203125" bestFit="1" customWidth="1"/>
    <col min="45" max="45" width="22.6640625" bestFit="1" customWidth="1"/>
    <col min="46" max="46" width="30.83203125" bestFit="1" customWidth="1"/>
    <col min="47" max="47" width="30" bestFit="1" customWidth="1"/>
    <col min="48" max="48" width="26.83203125" bestFit="1" customWidth="1"/>
    <col min="49" max="49" width="34.1640625" bestFit="1" customWidth="1"/>
    <col min="50" max="50" width="27.6640625" bestFit="1" customWidth="1"/>
    <col min="51" max="51" width="28" bestFit="1" customWidth="1"/>
    <col min="52" max="52" width="25.6640625" bestFit="1" customWidth="1"/>
    <col min="53" max="53" width="28.33203125" bestFit="1" customWidth="1"/>
    <col min="54" max="54" width="26" bestFit="1" customWidth="1"/>
    <col min="55" max="55" width="42.1640625" bestFit="1" customWidth="1"/>
  </cols>
  <sheetData>
    <row r="1" spans="1: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">
      <c r="A2" t="s">
        <v>55</v>
      </c>
      <c r="B2" t="s">
        <v>56</v>
      </c>
      <c r="C2">
        <v>425</v>
      </c>
      <c r="D2">
        <v>0</v>
      </c>
      <c r="E2">
        <v>25</v>
      </c>
      <c r="F2">
        <v>25</v>
      </c>
      <c r="G2">
        <v>0</v>
      </c>
      <c r="H2">
        <v>0</v>
      </c>
      <c r="I2">
        <v>475</v>
      </c>
      <c r="J2">
        <v>11338.75</v>
      </c>
      <c r="K2">
        <v>146377.19</v>
      </c>
      <c r="L2">
        <v>102464.03</v>
      </c>
      <c r="M2">
        <v>24761.41</v>
      </c>
      <c r="N2">
        <v>81054.429999999993</v>
      </c>
      <c r="O2">
        <v>200659.5</v>
      </c>
      <c r="P2">
        <v>23550000</v>
      </c>
      <c r="Q2">
        <v>76070.27</v>
      </c>
      <c r="R2">
        <v>6959.56</v>
      </c>
      <c r="S2">
        <v>26169.17</v>
      </c>
      <c r="T2">
        <v>222974.23</v>
      </c>
      <c r="U2">
        <v>68</v>
      </c>
      <c r="V2">
        <v>54600</v>
      </c>
      <c r="W2">
        <v>35490</v>
      </c>
      <c r="X2">
        <v>162890</v>
      </c>
      <c r="Y2">
        <v>4426167.2</v>
      </c>
      <c r="Z2">
        <v>76070.27</v>
      </c>
      <c r="AA2">
        <v>6959.56</v>
      </c>
      <c r="AB2">
        <v>26169.17</v>
      </c>
      <c r="AC2">
        <v>222974.23</v>
      </c>
      <c r="AD2">
        <v>0.84</v>
      </c>
      <c r="AE2">
        <v>1.1299999999999999</v>
      </c>
      <c r="AF2">
        <v>0.92</v>
      </c>
      <c r="AG2">
        <v>4.83</v>
      </c>
      <c r="AH2">
        <v>0</v>
      </c>
      <c r="AI2">
        <v>0</v>
      </c>
      <c r="AJ2">
        <v>0</v>
      </c>
      <c r="AK2">
        <v>0</v>
      </c>
      <c r="AL2">
        <v>130670.27</v>
      </c>
      <c r="AM2">
        <v>42449.56</v>
      </c>
      <c r="AN2">
        <v>189059.16999999899</v>
      </c>
      <c r="AO2">
        <v>4649141.43</v>
      </c>
      <c r="AP2">
        <v>47864.029999999897</v>
      </c>
      <c r="AQ2">
        <v>-10728.5899999999</v>
      </c>
      <c r="AR2">
        <v>-81835.569999999905</v>
      </c>
      <c r="AS2">
        <v>-4225507.7</v>
      </c>
      <c r="AT2">
        <v>30.844256000000001</v>
      </c>
      <c r="AU2">
        <v>29.949772576000001</v>
      </c>
      <c r="AV2">
        <v>4645958.4708519997</v>
      </c>
      <c r="AW2">
        <v>89146405.5</v>
      </c>
      <c r="AX2">
        <v>19.187947128518299</v>
      </c>
      <c r="AY2">
        <v>146496.65</v>
      </c>
      <c r="AZ2">
        <v>1.0008161107615099</v>
      </c>
      <c r="BA2">
        <v>161801.829268292</v>
      </c>
      <c r="BB2">
        <v>1.1053759760540001</v>
      </c>
      <c r="BC2">
        <v>25.578473177441499</v>
      </c>
    </row>
    <row r="3" spans="1:55" x14ac:dyDescent="0.2">
      <c r="A3" t="s">
        <v>57</v>
      </c>
      <c r="B3" t="s">
        <v>58</v>
      </c>
      <c r="C3">
        <v>930</v>
      </c>
      <c r="D3">
        <v>50</v>
      </c>
      <c r="E3">
        <v>400</v>
      </c>
      <c r="F3">
        <v>300</v>
      </c>
      <c r="G3">
        <v>150</v>
      </c>
      <c r="H3">
        <v>0</v>
      </c>
      <c r="I3">
        <v>1830</v>
      </c>
      <c r="J3">
        <v>31954.69</v>
      </c>
      <c r="K3">
        <v>391913.15</v>
      </c>
      <c r="L3">
        <v>274339.21000000002</v>
      </c>
      <c r="M3">
        <v>65182.82</v>
      </c>
      <c r="N3">
        <v>176753.48</v>
      </c>
      <c r="O3">
        <v>450619.2</v>
      </c>
      <c r="P3">
        <v>27252000</v>
      </c>
      <c r="Q3">
        <v>116059.84</v>
      </c>
      <c r="R3">
        <v>58968.45</v>
      </c>
      <c r="S3">
        <v>24421.62</v>
      </c>
      <c r="T3">
        <v>488263.82</v>
      </c>
      <c r="U3">
        <v>67</v>
      </c>
      <c r="V3">
        <v>0</v>
      </c>
      <c r="W3">
        <v>0</v>
      </c>
      <c r="X3">
        <v>0</v>
      </c>
      <c r="Y3">
        <v>0</v>
      </c>
      <c r="Z3">
        <v>38683.86</v>
      </c>
      <c r="AA3">
        <v>3929.92</v>
      </c>
      <c r="AB3">
        <v>17124.77</v>
      </c>
      <c r="AC3">
        <v>142705.22</v>
      </c>
      <c r="AD3">
        <v>0.82</v>
      </c>
      <c r="AE3">
        <v>0.48</v>
      </c>
      <c r="AF3">
        <v>0.3</v>
      </c>
      <c r="AG3">
        <v>0.69</v>
      </c>
      <c r="AH3">
        <v>110555.98</v>
      </c>
      <c r="AI3">
        <v>68478.53</v>
      </c>
      <c r="AJ3">
        <v>95916.85</v>
      </c>
      <c r="AK3">
        <v>1276912.81</v>
      </c>
      <c r="AL3">
        <v>38683.86</v>
      </c>
      <c r="AM3">
        <v>3929.92</v>
      </c>
      <c r="AN3">
        <v>17124.77</v>
      </c>
      <c r="AO3">
        <v>142705.22</v>
      </c>
      <c r="AP3">
        <v>241159.21</v>
      </c>
      <c r="AQ3">
        <v>51742.819999999898</v>
      </c>
      <c r="AR3">
        <v>88133.48</v>
      </c>
      <c r="AS3">
        <v>-480735.01</v>
      </c>
      <c r="AT3">
        <v>30.390664000000001</v>
      </c>
      <c r="AU3">
        <v>29.509334744</v>
      </c>
      <c r="AV3">
        <v>10555489.037928799</v>
      </c>
      <c r="AW3">
        <v>103159993.31999999</v>
      </c>
      <c r="AX3">
        <v>9.7731135856725793</v>
      </c>
      <c r="AY3">
        <v>412854.59479999897</v>
      </c>
      <c r="AZ3">
        <v>1.05343389166706</v>
      </c>
      <c r="BA3">
        <v>457852.43902439001</v>
      </c>
      <c r="BB3">
        <v>1.16824974876293</v>
      </c>
      <c r="BC3">
        <v>24.752357642168899</v>
      </c>
    </row>
    <row r="4" spans="1:55" x14ac:dyDescent="0.2">
      <c r="A4" t="s">
        <v>59</v>
      </c>
      <c r="B4" t="s">
        <v>60</v>
      </c>
      <c r="C4">
        <v>750</v>
      </c>
      <c r="D4">
        <v>90</v>
      </c>
      <c r="E4">
        <v>232</v>
      </c>
      <c r="F4">
        <v>0</v>
      </c>
      <c r="G4">
        <v>0</v>
      </c>
      <c r="H4">
        <v>0</v>
      </c>
      <c r="I4">
        <v>1072</v>
      </c>
      <c r="J4">
        <v>23041.75</v>
      </c>
      <c r="K4">
        <v>290771.33</v>
      </c>
      <c r="L4">
        <v>203539.93</v>
      </c>
      <c r="M4">
        <v>48610.21</v>
      </c>
      <c r="N4">
        <v>144025.43</v>
      </c>
      <c r="O4">
        <v>374857.2</v>
      </c>
      <c r="P4">
        <v>29580000</v>
      </c>
      <c r="Q4">
        <v>104495.09</v>
      </c>
      <c r="R4">
        <v>9832</v>
      </c>
      <c r="S4">
        <v>125630.14</v>
      </c>
      <c r="T4">
        <v>1057498.43</v>
      </c>
      <c r="U4">
        <v>70</v>
      </c>
      <c r="V4">
        <v>53150.85</v>
      </c>
      <c r="W4">
        <v>34133.129999999997</v>
      </c>
      <c r="X4">
        <v>177882.83</v>
      </c>
      <c r="Y4">
        <v>0</v>
      </c>
      <c r="Z4">
        <v>104495.09</v>
      </c>
      <c r="AA4">
        <v>9832</v>
      </c>
      <c r="AB4">
        <v>125630.14</v>
      </c>
      <c r="AC4">
        <v>1057498.43</v>
      </c>
      <c r="AD4">
        <v>0.8</v>
      </c>
      <c r="AE4">
        <v>1.07</v>
      </c>
      <c r="AF4">
        <v>1.23</v>
      </c>
      <c r="AG4">
        <v>1.3</v>
      </c>
      <c r="AH4">
        <v>0</v>
      </c>
      <c r="AI4">
        <v>0</v>
      </c>
      <c r="AJ4">
        <v>0</v>
      </c>
      <c r="AK4">
        <v>0</v>
      </c>
      <c r="AL4">
        <v>157645.94</v>
      </c>
      <c r="AM4">
        <v>43965.13</v>
      </c>
      <c r="AN4">
        <v>303512.96999999997</v>
      </c>
      <c r="AO4">
        <v>1057498.43</v>
      </c>
      <c r="AP4">
        <v>150389.07999999999</v>
      </c>
      <c r="AQ4">
        <v>14477.08</v>
      </c>
      <c r="AR4">
        <v>-33857.3999999999</v>
      </c>
      <c r="AS4">
        <v>374857.19999999902</v>
      </c>
      <c r="AT4">
        <v>31.751439999999999</v>
      </c>
      <c r="AU4">
        <v>30.830648239999999</v>
      </c>
      <c r="AV4">
        <v>9452676.7503839992</v>
      </c>
      <c r="AW4">
        <v>111972427.8</v>
      </c>
      <c r="AX4">
        <v>11.845578851032901</v>
      </c>
      <c r="AY4">
        <v>297699.40999999997</v>
      </c>
      <c r="AZ4">
        <v>1.0238265581410599</v>
      </c>
      <c r="BA4">
        <v>337580.48780487798</v>
      </c>
      <c r="BB4">
        <v>1.1609827138214599</v>
      </c>
      <c r="BC4">
        <v>24.9132845464135</v>
      </c>
    </row>
    <row r="5" spans="1:55" x14ac:dyDescent="0.2">
      <c r="A5" t="s">
        <v>61</v>
      </c>
      <c r="B5" t="s">
        <v>62</v>
      </c>
      <c r="C5">
        <v>72</v>
      </c>
      <c r="D5">
        <v>12</v>
      </c>
      <c r="E5">
        <v>20</v>
      </c>
      <c r="F5">
        <v>20</v>
      </c>
      <c r="G5">
        <v>15</v>
      </c>
      <c r="H5">
        <v>15</v>
      </c>
      <c r="I5">
        <v>154</v>
      </c>
      <c r="J5">
        <v>2530.9499999999998</v>
      </c>
      <c r="K5">
        <v>31753.119999999999</v>
      </c>
      <c r="L5">
        <v>22227.18</v>
      </c>
      <c r="M5">
        <v>5141.9399999999996</v>
      </c>
      <c r="N5">
        <v>13826.44</v>
      </c>
      <c r="O5">
        <v>36761.040000000001</v>
      </c>
      <c r="P5">
        <v>420915</v>
      </c>
      <c r="Q5">
        <v>1184.25</v>
      </c>
      <c r="R5">
        <v>11.19</v>
      </c>
      <c r="S5">
        <v>142.94</v>
      </c>
      <c r="T5">
        <v>1752.53</v>
      </c>
      <c r="U5">
        <v>70</v>
      </c>
      <c r="V5">
        <v>11950</v>
      </c>
      <c r="W5">
        <v>5150</v>
      </c>
      <c r="X5">
        <v>13000</v>
      </c>
      <c r="Y5">
        <v>173240.2</v>
      </c>
      <c r="Z5">
        <v>1184.25</v>
      </c>
      <c r="AA5">
        <v>11.19</v>
      </c>
      <c r="AB5">
        <v>142.94</v>
      </c>
      <c r="AC5">
        <v>1752.53</v>
      </c>
      <c r="AD5">
        <v>0.67</v>
      </c>
      <c r="AE5">
        <v>0.72</v>
      </c>
      <c r="AF5">
        <v>0.27</v>
      </c>
      <c r="AG5">
        <v>1.7</v>
      </c>
      <c r="AH5">
        <v>0</v>
      </c>
      <c r="AI5">
        <v>0</v>
      </c>
      <c r="AJ5">
        <v>0</v>
      </c>
      <c r="AK5">
        <v>0</v>
      </c>
      <c r="AL5">
        <v>13134.25</v>
      </c>
      <c r="AM5">
        <v>5161.1899999999996</v>
      </c>
      <c r="AN5">
        <v>13142.94</v>
      </c>
      <c r="AO5">
        <v>174992.73</v>
      </c>
      <c r="AP5">
        <v>10277.18</v>
      </c>
      <c r="AQ5">
        <v>-8.0600000000004002</v>
      </c>
      <c r="AR5">
        <v>826.44</v>
      </c>
      <c r="AS5">
        <v>-136479.16</v>
      </c>
      <c r="AT5">
        <v>31.751439999999999</v>
      </c>
      <c r="AU5">
        <v>30.830648239999999</v>
      </c>
      <c r="AV5">
        <v>945267.67503839894</v>
      </c>
      <c r="AW5">
        <v>1593335.8501500001</v>
      </c>
      <c r="AX5">
        <v>1.6855922319413601</v>
      </c>
      <c r="AY5">
        <v>32699.873999999902</v>
      </c>
      <c r="AZ5">
        <v>1.0298160936626</v>
      </c>
      <c r="BA5">
        <v>37336.829268292597</v>
      </c>
      <c r="BB5">
        <v>1.17584757870384</v>
      </c>
      <c r="BC5">
        <v>23.090554072096101</v>
      </c>
    </row>
    <row r="6" spans="1:55" x14ac:dyDescent="0.2">
      <c r="A6" t="s">
        <v>63</v>
      </c>
      <c r="B6" t="s">
        <v>64</v>
      </c>
      <c r="C6">
        <v>911</v>
      </c>
      <c r="D6">
        <v>160</v>
      </c>
      <c r="E6">
        <v>70</v>
      </c>
      <c r="F6">
        <v>650</v>
      </c>
      <c r="G6">
        <v>420</v>
      </c>
      <c r="H6">
        <v>0</v>
      </c>
      <c r="I6">
        <v>2211</v>
      </c>
      <c r="J6">
        <v>33159.99</v>
      </c>
      <c r="K6">
        <v>411667.11</v>
      </c>
      <c r="L6">
        <v>288166.98</v>
      </c>
      <c r="M6">
        <v>66270.600000000006</v>
      </c>
      <c r="N6">
        <v>168941.22</v>
      </c>
      <c r="O6">
        <v>467012.34</v>
      </c>
      <c r="P6">
        <v>2970000</v>
      </c>
      <c r="Q6">
        <v>22019.03</v>
      </c>
      <c r="R6">
        <v>11805.51</v>
      </c>
      <c r="S6">
        <v>29569.15</v>
      </c>
      <c r="T6">
        <v>136503.34</v>
      </c>
      <c r="U6">
        <v>60</v>
      </c>
      <c r="V6">
        <v>0</v>
      </c>
      <c r="W6">
        <v>0</v>
      </c>
      <c r="X6">
        <v>0</v>
      </c>
      <c r="Y6">
        <v>0</v>
      </c>
      <c r="Z6">
        <v>22019.03</v>
      </c>
      <c r="AA6">
        <v>11805.51</v>
      </c>
      <c r="AB6">
        <v>29569.15</v>
      </c>
      <c r="AC6">
        <v>136503.34</v>
      </c>
      <c r="AD6">
        <v>0.65</v>
      </c>
      <c r="AE6">
        <v>0.73</v>
      </c>
      <c r="AF6">
        <v>0.35</v>
      </c>
      <c r="AG6">
        <v>0.25</v>
      </c>
      <c r="AH6">
        <v>63498.400000000001</v>
      </c>
      <c r="AI6">
        <v>9962.68</v>
      </c>
      <c r="AJ6">
        <v>35690.480000000003</v>
      </c>
      <c r="AK6">
        <v>1165962</v>
      </c>
      <c r="AL6">
        <v>22019.03</v>
      </c>
      <c r="AM6">
        <v>11805.51</v>
      </c>
      <c r="AN6">
        <v>29569.15</v>
      </c>
      <c r="AO6">
        <v>136503.34</v>
      </c>
      <c r="AP6">
        <v>224668.58</v>
      </c>
      <c r="AQ6">
        <v>56307.92</v>
      </c>
      <c r="AR6">
        <v>133250.74</v>
      </c>
      <c r="AS6">
        <v>-698949.65999999898</v>
      </c>
      <c r="AT6">
        <v>27.215519999999898</v>
      </c>
      <c r="AU6">
        <v>26.4262699199999</v>
      </c>
      <c r="AV6">
        <v>10330425.305776799</v>
      </c>
      <c r="AW6">
        <v>11242667.699999999</v>
      </c>
      <c r="AX6">
        <v>1.08830637337971</v>
      </c>
      <c r="AY6">
        <v>428427.07079999999</v>
      </c>
      <c r="AZ6">
        <v>1.04071241154047</v>
      </c>
      <c r="BA6">
        <v>505756.463414634</v>
      </c>
      <c r="BB6">
        <v>1.2285568876625399</v>
      </c>
      <c r="BC6">
        <v>22.283843733097299</v>
      </c>
    </row>
    <row r="7" spans="1:55" x14ac:dyDescent="0.2">
      <c r="A7" t="s">
        <v>65</v>
      </c>
      <c r="B7" t="s">
        <v>66</v>
      </c>
      <c r="C7">
        <v>620</v>
      </c>
      <c r="D7">
        <v>80</v>
      </c>
      <c r="E7">
        <v>60</v>
      </c>
      <c r="F7">
        <v>0</v>
      </c>
      <c r="G7">
        <v>0</v>
      </c>
      <c r="H7">
        <v>0</v>
      </c>
      <c r="I7">
        <v>760</v>
      </c>
      <c r="J7">
        <v>17601.66</v>
      </c>
      <c r="K7">
        <v>226947.01</v>
      </c>
      <c r="L7">
        <v>158862.91</v>
      </c>
      <c r="M7">
        <v>37846.6</v>
      </c>
      <c r="N7">
        <v>118244.11</v>
      </c>
      <c r="O7">
        <v>311173.2</v>
      </c>
      <c r="P7">
        <v>9168000</v>
      </c>
      <c r="Q7">
        <v>19653.48</v>
      </c>
      <c r="R7">
        <v>5780.4</v>
      </c>
      <c r="S7">
        <v>55449.919999999998</v>
      </c>
      <c r="T7">
        <v>419426.38</v>
      </c>
      <c r="U7">
        <v>68</v>
      </c>
      <c r="V7">
        <v>0</v>
      </c>
      <c r="W7">
        <v>0</v>
      </c>
      <c r="X7">
        <v>0</v>
      </c>
      <c r="Y7">
        <v>0</v>
      </c>
      <c r="Z7">
        <v>19653.48</v>
      </c>
      <c r="AA7">
        <v>5780.4</v>
      </c>
      <c r="AB7">
        <v>55449.919999999998</v>
      </c>
      <c r="AC7">
        <v>419426.38</v>
      </c>
      <c r="AD7">
        <v>1.1499999999999999</v>
      </c>
      <c r="AE7">
        <v>2.66</v>
      </c>
      <c r="AF7">
        <v>2.31</v>
      </c>
      <c r="AG7">
        <v>3.59</v>
      </c>
      <c r="AH7">
        <v>102150.24</v>
      </c>
      <c r="AI7">
        <v>30565.67</v>
      </c>
      <c r="AJ7">
        <v>124080.66</v>
      </c>
      <c r="AK7">
        <v>512179.20000000001</v>
      </c>
      <c r="AL7">
        <v>19653.48</v>
      </c>
      <c r="AM7">
        <v>5780.4</v>
      </c>
      <c r="AN7">
        <v>55449.919999999998</v>
      </c>
      <c r="AO7">
        <v>419426.38</v>
      </c>
      <c r="AP7">
        <v>56712.67</v>
      </c>
      <c r="AQ7">
        <v>7280.93</v>
      </c>
      <c r="AR7">
        <v>-5836.55</v>
      </c>
      <c r="AS7">
        <v>-201005.99999999901</v>
      </c>
      <c r="AT7">
        <v>30.844256000000001</v>
      </c>
      <c r="AU7">
        <v>29.949772576000001</v>
      </c>
      <c r="AV7">
        <v>7652166.8931679996</v>
      </c>
      <c r="AW7">
        <v>34704638.880000003</v>
      </c>
      <c r="AX7">
        <v>4.5352694687023796</v>
      </c>
      <c r="AY7">
        <v>227413.4472</v>
      </c>
      <c r="AZ7">
        <v>1.00205526920138</v>
      </c>
      <c r="BA7">
        <v>263512.19512195099</v>
      </c>
      <c r="BB7">
        <v>1.16111772136566</v>
      </c>
      <c r="BC7">
        <v>24.380677702702702</v>
      </c>
    </row>
    <row r="8" spans="1:55" x14ac:dyDescent="0.2">
      <c r="A8" t="s">
        <v>67</v>
      </c>
      <c r="B8" t="s">
        <v>68</v>
      </c>
      <c r="C8">
        <v>3600</v>
      </c>
      <c r="D8">
        <v>248</v>
      </c>
      <c r="E8">
        <v>1888</v>
      </c>
      <c r="F8">
        <v>673</v>
      </c>
      <c r="G8">
        <v>523</v>
      </c>
      <c r="H8">
        <v>0</v>
      </c>
      <c r="I8">
        <v>6932</v>
      </c>
      <c r="J8">
        <v>119371.09</v>
      </c>
      <c r="K8">
        <v>1471171.59</v>
      </c>
      <c r="L8">
        <v>1029820.11</v>
      </c>
      <c r="M8">
        <v>243903.23</v>
      </c>
      <c r="N8">
        <v>667605.27</v>
      </c>
      <c r="O8">
        <v>1756887.84</v>
      </c>
      <c r="P8">
        <v>23242500</v>
      </c>
      <c r="Q8">
        <v>83573.58</v>
      </c>
      <c r="R8">
        <v>10617.24</v>
      </c>
      <c r="S8">
        <v>111967.29</v>
      </c>
      <c r="T8">
        <v>681959.03</v>
      </c>
      <c r="U8">
        <v>60</v>
      </c>
      <c r="V8">
        <v>82213.13</v>
      </c>
      <c r="W8">
        <v>29948.76</v>
      </c>
      <c r="X8">
        <v>101898.29</v>
      </c>
      <c r="Y8">
        <v>0</v>
      </c>
      <c r="Z8">
        <v>83573.58</v>
      </c>
      <c r="AA8">
        <v>10617.24</v>
      </c>
      <c r="AB8">
        <v>111967.29</v>
      </c>
      <c r="AC8">
        <v>681959.03</v>
      </c>
      <c r="AD8">
        <v>1.2</v>
      </c>
      <c r="AE8">
        <v>0.56999999999999995</v>
      </c>
      <c r="AF8">
        <v>0.66</v>
      </c>
      <c r="AG8">
        <v>6.86</v>
      </c>
      <c r="AH8">
        <v>0</v>
      </c>
      <c r="AI8">
        <v>0</v>
      </c>
      <c r="AJ8">
        <v>0</v>
      </c>
      <c r="AK8">
        <v>0</v>
      </c>
      <c r="AL8">
        <v>165786.71</v>
      </c>
      <c r="AM8">
        <v>40566</v>
      </c>
      <c r="AN8">
        <v>213865.58</v>
      </c>
      <c r="AO8">
        <v>681959.03</v>
      </c>
      <c r="AP8">
        <v>947606.98</v>
      </c>
      <c r="AQ8">
        <v>213954.47</v>
      </c>
      <c r="AR8">
        <v>565706.98</v>
      </c>
      <c r="AS8">
        <v>1756887.84</v>
      </c>
      <c r="AT8">
        <v>27.215519999999898</v>
      </c>
      <c r="AU8">
        <v>26.4262699199999</v>
      </c>
      <c r="AV8">
        <v>37116224.628038302</v>
      </c>
      <c r="AW8">
        <v>87982391.924999997</v>
      </c>
      <c r="AX8">
        <v>2.3704563922305799</v>
      </c>
      <c r="AY8">
        <v>1542274.4827999901</v>
      </c>
      <c r="AZ8">
        <v>1.04833079518616</v>
      </c>
      <c r="BA8">
        <v>1769787.0731707299</v>
      </c>
      <c r="BB8">
        <v>1.20297801099512</v>
      </c>
      <c r="BC8">
        <v>23.987956015840901</v>
      </c>
    </row>
    <row r="9" spans="1:55" x14ac:dyDescent="0.2">
      <c r="A9" t="s">
        <v>69</v>
      </c>
      <c r="B9" t="s">
        <v>70</v>
      </c>
      <c r="C9">
        <v>1150</v>
      </c>
      <c r="D9">
        <v>140</v>
      </c>
      <c r="E9">
        <v>675</v>
      </c>
      <c r="F9">
        <v>690</v>
      </c>
      <c r="G9">
        <v>375</v>
      </c>
      <c r="H9">
        <v>0</v>
      </c>
      <c r="I9">
        <v>3030</v>
      </c>
      <c r="J9">
        <v>46667.73</v>
      </c>
      <c r="K9">
        <v>575627.9</v>
      </c>
      <c r="L9">
        <v>402939.53</v>
      </c>
      <c r="M9">
        <v>94798.82</v>
      </c>
      <c r="N9">
        <v>226899.96</v>
      </c>
      <c r="O9">
        <v>575242.19999999995</v>
      </c>
      <c r="P9">
        <v>28656000</v>
      </c>
      <c r="Q9">
        <v>96017.84</v>
      </c>
      <c r="R9">
        <v>14673.14</v>
      </c>
      <c r="S9">
        <v>109909.02</v>
      </c>
      <c r="T9">
        <v>809619.88</v>
      </c>
      <c r="U9">
        <v>78</v>
      </c>
      <c r="V9">
        <v>33933.26</v>
      </c>
      <c r="W9">
        <v>10767.31</v>
      </c>
      <c r="X9">
        <v>54110.78</v>
      </c>
      <c r="Y9">
        <v>0</v>
      </c>
      <c r="Z9">
        <v>96017.84</v>
      </c>
      <c r="AA9">
        <v>14673.14</v>
      </c>
      <c r="AB9">
        <v>109909.02</v>
      </c>
      <c r="AC9">
        <v>809619.88</v>
      </c>
      <c r="AD9">
        <v>1.1000000000000001</v>
      </c>
      <c r="AE9">
        <v>1.18</v>
      </c>
      <c r="AF9">
        <v>1.05</v>
      </c>
      <c r="AG9">
        <v>2.69</v>
      </c>
      <c r="AH9">
        <v>226054.65</v>
      </c>
      <c r="AI9">
        <v>89107.76</v>
      </c>
      <c r="AJ9">
        <v>378303.25</v>
      </c>
      <c r="AK9">
        <v>0</v>
      </c>
      <c r="AL9">
        <v>129951.1</v>
      </c>
      <c r="AM9">
        <v>25440.449999999899</v>
      </c>
      <c r="AN9">
        <v>164019.79999999999</v>
      </c>
      <c r="AO9">
        <v>809619.88</v>
      </c>
      <c r="AP9">
        <v>142951.62</v>
      </c>
      <c r="AQ9">
        <v>-5076.24999999998</v>
      </c>
      <c r="AR9">
        <v>-205514.07</v>
      </c>
      <c r="AS9">
        <v>575242.19999999995</v>
      </c>
      <c r="AT9">
        <v>35.380175999999999</v>
      </c>
      <c r="AU9">
        <v>34.354150896</v>
      </c>
      <c r="AV9">
        <v>16175651.949381599</v>
      </c>
      <c r="AW9">
        <v>108474708.95999999</v>
      </c>
      <c r="AX9">
        <v>6.7060486525952303</v>
      </c>
      <c r="AY9">
        <v>602947.07160000002</v>
      </c>
      <c r="AZ9">
        <v>1.04745977670644</v>
      </c>
      <c r="BA9">
        <v>669819.51219512196</v>
      </c>
      <c r="BB9">
        <v>1.16363281243859</v>
      </c>
      <c r="BC9">
        <v>24.223027345233501</v>
      </c>
    </row>
    <row r="10" spans="1:55" x14ac:dyDescent="0.2">
      <c r="A10" t="s">
        <v>71</v>
      </c>
      <c r="B10" t="s">
        <v>72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0.7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0.7</v>
      </c>
      <c r="AQ10">
        <v>1</v>
      </c>
      <c r="AR10">
        <v>1</v>
      </c>
      <c r="AS10">
        <v>0</v>
      </c>
      <c r="AT10">
        <v>0.453592</v>
      </c>
      <c r="AU10">
        <v>0.44043783199999997</v>
      </c>
      <c r="AV10">
        <v>0</v>
      </c>
      <c r="AW10">
        <v>0</v>
      </c>
    </row>
    <row r="11" spans="1:55" x14ac:dyDescent="0.2">
      <c r="A11" t="s">
        <v>73</v>
      </c>
      <c r="B11" t="s">
        <v>74</v>
      </c>
      <c r="C11">
        <v>970</v>
      </c>
      <c r="D11">
        <v>75</v>
      </c>
      <c r="E11">
        <v>400</v>
      </c>
      <c r="F11">
        <v>300</v>
      </c>
      <c r="G11">
        <v>275</v>
      </c>
      <c r="H11">
        <v>0</v>
      </c>
      <c r="I11">
        <v>2020</v>
      </c>
      <c r="J11">
        <v>33755.15</v>
      </c>
      <c r="K11">
        <v>416160.47</v>
      </c>
      <c r="L11">
        <v>291312.33</v>
      </c>
      <c r="M11">
        <v>68483.03</v>
      </c>
      <c r="N11">
        <v>184355.78</v>
      </c>
      <c r="O11">
        <v>475269.3</v>
      </c>
      <c r="P11">
        <v>44689000</v>
      </c>
      <c r="Q11">
        <v>140320.95000000001</v>
      </c>
      <c r="R11">
        <v>17194.34</v>
      </c>
      <c r="S11">
        <v>69814.429999999993</v>
      </c>
      <c r="T11">
        <v>556239.35</v>
      </c>
      <c r="U11">
        <v>67</v>
      </c>
      <c r="V11">
        <v>0</v>
      </c>
      <c r="W11">
        <v>0</v>
      </c>
      <c r="X11">
        <v>0</v>
      </c>
      <c r="Y11">
        <v>0</v>
      </c>
      <c r="Z11">
        <v>72907.11</v>
      </c>
      <c r="AA11">
        <v>8937.9699999999993</v>
      </c>
      <c r="AB11">
        <v>36279.24</v>
      </c>
      <c r="AC11">
        <v>289064.12</v>
      </c>
      <c r="AD11">
        <v>1.23</v>
      </c>
      <c r="AE11">
        <v>0.77</v>
      </c>
      <c r="AF11">
        <v>0.49</v>
      </c>
      <c r="AG11">
        <v>0.77</v>
      </c>
      <c r="AH11">
        <v>164073.84</v>
      </c>
      <c r="AI11">
        <v>42624.36</v>
      </c>
      <c r="AJ11">
        <v>151675.19</v>
      </c>
      <c r="AK11">
        <v>2642261.7799999998</v>
      </c>
      <c r="AL11">
        <v>72907.11</v>
      </c>
      <c r="AM11">
        <v>8937.9699999999993</v>
      </c>
      <c r="AN11">
        <v>36279.24</v>
      </c>
      <c r="AO11">
        <v>289064.12</v>
      </c>
      <c r="AP11">
        <v>194652.33</v>
      </c>
      <c r="AQ11">
        <v>34115.039999999899</v>
      </c>
      <c r="AR11">
        <v>66215.78</v>
      </c>
      <c r="AS11">
        <v>-1899817.25</v>
      </c>
      <c r="AT11">
        <v>30.390664000000001</v>
      </c>
      <c r="AU11">
        <v>29.509334744</v>
      </c>
      <c r="AV11">
        <v>11255598.0047302</v>
      </c>
      <c r="AW11">
        <v>169166187.49000001</v>
      </c>
      <c r="AX11">
        <v>15.0295157501989</v>
      </c>
      <c r="AY11">
        <v>436116.538</v>
      </c>
      <c r="AZ11">
        <v>1.0479528197380199</v>
      </c>
      <c r="BA11">
        <v>487141.463414634</v>
      </c>
      <c r="BB11">
        <v>1.1705615947007899</v>
      </c>
      <c r="BC11">
        <v>24.081453801983599</v>
      </c>
    </row>
    <row r="12" spans="1:55" x14ac:dyDescent="0.2">
      <c r="A12" t="s">
        <v>75</v>
      </c>
      <c r="B12" t="s">
        <v>76</v>
      </c>
      <c r="C12">
        <v>150</v>
      </c>
      <c r="D12">
        <v>35</v>
      </c>
      <c r="E12">
        <v>70</v>
      </c>
      <c r="F12">
        <v>48</v>
      </c>
      <c r="G12">
        <v>25</v>
      </c>
      <c r="H12">
        <v>17</v>
      </c>
      <c r="I12">
        <v>345</v>
      </c>
      <c r="J12">
        <v>5518.11</v>
      </c>
      <c r="K12">
        <v>69076.800000000003</v>
      </c>
      <c r="L12">
        <v>48353.760000000002</v>
      </c>
      <c r="M12">
        <v>11225.73</v>
      </c>
      <c r="N12">
        <v>28310.99</v>
      </c>
      <c r="O12">
        <v>78891.3</v>
      </c>
      <c r="P12">
        <v>7974000</v>
      </c>
      <c r="Q12">
        <v>31883.34</v>
      </c>
      <c r="R12">
        <v>5105.2</v>
      </c>
      <c r="S12">
        <v>25794.66</v>
      </c>
      <c r="T12">
        <v>142015.74</v>
      </c>
      <c r="U12">
        <v>65</v>
      </c>
      <c r="V12">
        <v>22498.42</v>
      </c>
      <c r="W12">
        <v>7358.41</v>
      </c>
      <c r="X12">
        <v>28935.73</v>
      </c>
      <c r="Y12">
        <v>637920.67000000004</v>
      </c>
      <c r="Z12">
        <v>31883.34</v>
      </c>
      <c r="AA12">
        <v>5105.2</v>
      </c>
      <c r="AB12">
        <v>25794.66</v>
      </c>
      <c r="AC12">
        <v>142015.74</v>
      </c>
      <c r="AD12">
        <v>0.79</v>
      </c>
      <c r="AE12">
        <v>1</v>
      </c>
      <c r="AF12">
        <v>0.6</v>
      </c>
      <c r="AG12">
        <v>1.79</v>
      </c>
      <c r="AH12">
        <v>0</v>
      </c>
      <c r="AI12">
        <v>0</v>
      </c>
      <c r="AJ12">
        <v>0</v>
      </c>
      <c r="AK12">
        <v>0</v>
      </c>
      <c r="AL12">
        <v>54381.7599999999</v>
      </c>
      <c r="AM12">
        <v>12463.61</v>
      </c>
      <c r="AN12">
        <v>54730.39</v>
      </c>
      <c r="AO12">
        <v>779936.41</v>
      </c>
      <c r="AP12">
        <v>25855.34</v>
      </c>
      <c r="AQ12">
        <v>3867.3199999999902</v>
      </c>
      <c r="AR12">
        <v>-624.73999999999796</v>
      </c>
      <c r="AS12">
        <v>-559029.37</v>
      </c>
      <c r="AT12">
        <v>29.48348</v>
      </c>
      <c r="AU12">
        <v>28.628459079999999</v>
      </c>
      <c r="AV12">
        <v>1933136.6993769901</v>
      </c>
      <c r="AW12">
        <v>30184859.34</v>
      </c>
      <c r="AX12">
        <v>15.614446381224701</v>
      </c>
      <c r="AY12">
        <v>71293.981199999995</v>
      </c>
      <c r="AZ12">
        <v>1.03209733514001</v>
      </c>
      <c r="BA12">
        <v>85151.829268292597</v>
      </c>
      <c r="BB12">
        <v>1.23271241962992</v>
      </c>
      <c r="BC12">
        <v>22.658238357536298</v>
      </c>
    </row>
    <row r="13" spans="1:55" x14ac:dyDescent="0.2">
      <c r="A13" t="s">
        <v>77</v>
      </c>
      <c r="B13" t="s">
        <v>78</v>
      </c>
      <c r="C13">
        <v>3600</v>
      </c>
      <c r="D13">
        <v>400</v>
      </c>
      <c r="E13">
        <v>0</v>
      </c>
      <c r="F13">
        <v>0</v>
      </c>
      <c r="G13">
        <v>0</v>
      </c>
      <c r="H13">
        <v>0</v>
      </c>
      <c r="I13">
        <v>4000</v>
      </c>
      <c r="J13">
        <v>104771.76</v>
      </c>
      <c r="K13">
        <v>1366964.07</v>
      </c>
      <c r="L13">
        <v>956874.85</v>
      </c>
      <c r="M13">
        <v>229900.18</v>
      </c>
      <c r="N13">
        <v>726897.27</v>
      </c>
      <c r="O13">
        <v>1791936</v>
      </c>
      <c r="P13">
        <v>167544474</v>
      </c>
      <c r="Q13">
        <v>667318.81000000006</v>
      </c>
      <c r="R13">
        <v>45188.7</v>
      </c>
      <c r="S13">
        <v>560276.44999999995</v>
      </c>
      <c r="T13">
        <v>5112510.1900000004</v>
      </c>
      <c r="U13">
        <v>85</v>
      </c>
      <c r="V13">
        <v>0</v>
      </c>
      <c r="W13">
        <v>0</v>
      </c>
      <c r="X13">
        <v>0</v>
      </c>
      <c r="Y13">
        <v>0</v>
      </c>
      <c r="Z13">
        <v>667318.81000000006</v>
      </c>
      <c r="AA13">
        <v>45188.7</v>
      </c>
      <c r="AB13">
        <v>560276.44999999995</v>
      </c>
      <c r="AC13">
        <v>5112510.1900000004</v>
      </c>
      <c r="AD13">
        <v>1.28</v>
      </c>
      <c r="AE13">
        <v>0.45</v>
      </c>
      <c r="AF13">
        <v>0.85</v>
      </c>
      <c r="AG13">
        <v>3.21</v>
      </c>
      <c r="AH13">
        <v>0</v>
      </c>
      <c r="AI13">
        <v>0</v>
      </c>
      <c r="AJ13">
        <v>0</v>
      </c>
      <c r="AK13">
        <v>0</v>
      </c>
      <c r="AL13">
        <v>667318.81000000006</v>
      </c>
      <c r="AM13">
        <v>45188.7</v>
      </c>
      <c r="AN13">
        <v>560276.44999999995</v>
      </c>
      <c r="AO13">
        <v>5112510.1900000004</v>
      </c>
      <c r="AP13">
        <v>956874.85</v>
      </c>
      <c r="AQ13">
        <v>229900.18</v>
      </c>
      <c r="AR13">
        <v>726897.27</v>
      </c>
      <c r="AS13">
        <v>1791936</v>
      </c>
      <c r="AT13">
        <v>38.555320000000002</v>
      </c>
      <c r="AU13">
        <v>37.437215719999998</v>
      </c>
      <c r="AV13">
        <v>54658334.951200001</v>
      </c>
      <c r="AW13">
        <v>634224527.32433999</v>
      </c>
      <c r="AX13">
        <v>11.6034366559205</v>
      </c>
      <c r="AY13">
        <v>1353651.1391999901</v>
      </c>
      <c r="AZ13">
        <v>0.99026095045789997</v>
      </c>
      <c r="BA13">
        <v>1460000</v>
      </c>
      <c r="BB13">
        <v>1.06806025998913</v>
      </c>
      <c r="BC13">
        <v>26.19294</v>
      </c>
    </row>
    <row r="14" spans="1:55" x14ac:dyDescent="0.2">
      <c r="A14" t="s">
        <v>79</v>
      </c>
      <c r="B14" t="s">
        <v>80</v>
      </c>
      <c r="C14">
        <v>0</v>
      </c>
      <c r="D14">
        <v>0</v>
      </c>
      <c r="E14">
        <v>0</v>
      </c>
      <c r="F14">
        <v>1200</v>
      </c>
      <c r="G14">
        <v>0</v>
      </c>
      <c r="H14">
        <v>0</v>
      </c>
      <c r="I14">
        <v>1200</v>
      </c>
      <c r="J14">
        <v>11788.08</v>
      </c>
      <c r="K14">
        <v>114192</v>
      </c>
      <c r="L14">
        <v>79934.399999999994</v>
      </c>
      <c r="M14">
        <v>19324.8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31974</v>
      </c>
      <c r="W14">
        <v>11740</v>
      </c>
      <c r="X14">
        <v>62156</v>
      </c>
      <c r="Y14">
        <v>1079120</v>
      </c>
      <c r="Z14">
        <v>0</v>
      </c>
      <c r="AA14">
        <v>0</v>
      </c>
      <c r="AB14">
        <v>0</v>
      </c>
      <c r="AC14">
        <v>0</v>
      </c>
      <c r="AD14">
        <v>0.44</v>
      </c>
      <c r="AE14">
        <v>1.1000000000000001</v>
      </c>
      <c r="AF14">
        <v>0.84</v>
      </c>
      <c r="AG14">
        <v>3.71</v>
      </c>
      <c r="AH14">
        <v>43050</v>
      </c>
      <c r="AI14">
        <v>14172</v>
      </c>
      <c r="AJ14">
        <v>83493.600000000006</v>
      </c>
      <c r="AK14">
        <v>1157704.8</v>
      </c>
      <c r="AL14">
        <v>31974</v>
      </c>
      <c r="AM14">
        <v>11740</v>
      </c>
      <c r="AN14">
        <v>62156</v>
      </c>
      <c r="AO14">
        <v>1079120</v>
      </c>
      <c r="AP14">
        <v>4910.3999999999896</v>
      </c>
      <c r="AQ14">
        <v>-6587.2</v>
      </c>
      <c r="AR14">
        <v>-145648.6</v>
      </c>
      <c r="AS14">
        <v>-2236824.7999999998</v>
      </c>
      <c r="AT14">
        <v>0.453592</v>
      </c>
      <c r="AU14">
        <v>0.44043783199999997</v>
      </c>
      <c r="AV14">
        <v>0</v>
      </c>
      <c r="AW14">
        <v>0</v>
      </c>
      <c r="AY14">
        <v>152301.99359999999</v>
      </c>
      <c r="AZ14">
        <v>1.3337361076082299</v>
      </c>
      <c r="BA14">
        <v>160243.90243902401</v>
      </c>
      <c r="BB14">
        <v>1.40328483991019</v>
      </c>
      <c r="BC14">
        <v>26.850626666666599</v>
      </c>
    </row>
    <row r="15" spans="1:55" x14ac:dyDescent="0.2">
      <c r="A15" t="s">
        <v>81</v>
      </c>
      <c r="B15" t="s">
        <v>82</v>
      </c>
      <c r="C15">
        <v>0</v>
      </c>
      <c r="D15">
        <v>0</v>
      </c>
      <c r="E15">
        <v>0</v>
      </c>
      <c r="F15">
        <v>25</v>
      </c>
      <c r="G15">
        <v>0</v>
      </c>
      <c r="H15">
        <v>0</v>
      </c>
      <c r="I15">
        <v>25</v>
      </c>
      <c r="J15">
        <v>237.35</v>
      </c>
      <c r="K15">
        <v>2379</v>
      </c>
      <c r="L15">
        <v>1665.3</v>
      </c>
      <c r="M15">
        <v>402.6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3040</v>
      </c>
      <c r="W15">
        <v>1420</v>
      </c>
      <c r="X15">
        <v>2740</v>
      </c>
      <c r="Y15">
        <v>76086.8</v>
      </c>
      <c r="Z15">
        <v>0</v>
      </c>
      <c r="AA15">
        <v>0</v>
      </c>
      <c r="AB15">
        <v>0</v>
      </c>
      <c r="AC15">
        <v>0</v>
      </c>
      <c r="AD15">
        <v>0.76</v>
      </c>
      <c r="AE15">
        <v>0.44</v>
      </c>
      <c r="AF15">
        <v>0.66</v>
      </c>
      <c r="AG15">
        <v>0.6</v>
      </c>
      <c r="AH15">
        <v>0</v>
      </c>
      <c r="AI15">
        <v>0</v>
      </c>
      <c r="AJ15">
        <v>0</v>
      </c>
      <c r="AK15">
        <v>0</v>
      </c>
      <c r="AL15">
        <v>3040</v>
      </c>
      <c r="AM15">
        <v>1420</v>
      </c>
      <c r="AN15">
        <v>2740</v>
      </c>
      <c r="AO15">
        <v>76086.8</v>
      </c>
      <c r="AP15">
        <v>-1374.7</v>
      </c>
      <c r="AQ15">
        <v>-1017.4</v>
      </c>
      <c r="AR15">
        <v>-2739</v>
      </c>
      <c r="AS15">
        <v>-76086.8</v>
      </c>
      <c r="AT15">
        <v>0.453592</v>
      </c>
      <c r="AU15">
        <v>0.44043783199999997</v>
      </c>
      <c r="AV15">
        <v>0</v>
      </c>
      <c r="AW15">
        <v>0</v>
      </c>
      <c r="AY15">
        <v>3066.5619999999999</v>
      </c>
      <c r="AZ15">
        <v>1.2890130306851599</v>
      </c>
      <c r="BA15">
        <v>3338.4146341463402</v>
      </c>
      <c r="BB15">
        <v>1.40328483991019</v>
      </c>
      <c r="BC15">
        <v>25.9502666666666</v>
      </c>
    </row>
    <row r="16" spans="1:55" x14ac:dyDescent="0.2">
      <c r="A16" t="s">
        <v>83</v>
      </c>
      <c r="B16" t="s">
        <v>84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17.55</v>
      </c>
      <c r="K16">
        <v>230.13</v>
      </c>
      <c r="L16">
        <v>161.09</v>
      </c>
      <c r="M16">
        <v>37.409999999999997</v>
      </c>
      <c r="N16">
        <v>146.58000000000001</v>
      </c>
      <c r="O16">
        <v>472.14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4.78</v>
      </c>
      <c r="AE16">
        <v>1.67</v>
      </c>
      <c r="AF16">
        <v>2.5</v>
      </c>
      <c r="AG16">
        <v>23.14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161.09</v>
      </c>
      <c r="AQ16">
        <v>37.409999999999997</v>
      </c>
      <c r="AR16">
        <v>146.58000000000001</v>
      </c>
      <c r="AS16">
        <v>472.14</v>
      </c>
      <c r="AT16">
        <v>0.453592</v>
      </c>
      <c r="AU16">
        <v>0.44043783199999997</v>
      </c>
      <c r="AV16">
        <v>160.75980867999999</v>
      </c>
      <c r="AW16">
        <v>0</v>
      </c>
      <c r="AY16">
        <v>226.74600000000001</v>
      </c>
      <c r="AZ16">
        <v>0.98529526789206101</v>
      </c>
      <c r="BA16">
        <v>365</v>
      </c>
      <c r="BB16">
        <v>1.5860600530135101</v>
      </c>
      <c r="BC16">
        <v>17.55</v>
      </c>
    </row>
    <row r="17" spans="1:55" x14ac:dyDescent="0.2">
      <c r="A17" t="s">
        <v>85</v>
      </c>
      <c r="B17" t="s">
        <v>86</v>
      </c>
      <c r="C17">
        <v>0</v>
      </c>
      <c r="D17">
        <v>150</v>
      </c>
      <c r="E17">
        <v>1015</v>
      </c>
      <c r="F17">
        <v>135</v>
      </c>
      <c r="G17">
        <v>0</v>
      </c>
      <c r="H17">
        <v>0</v>
      </c>
      <c r="I17">
        <v>1300</v>
      </c>
      <c r="J17">
        <v>13731.93</v>
      </c>
      <c r="K17">
        <v>136884</v>
      </c>
      <c r="L17">
        <v>95818.8</v>
      </c>
      <c r="M17">
        <v>22143</v>
      </c>
      <c r="N17">
        <v>1</v>
      </c>
      <c r="O17">
        <v>34587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77450.460000000006</v>
      </c>
      <c r="W17">
        <v>17327.900000000001</v>
      </c>
      <c r="X17">
        <v>50670.98</v>
      </c>
      <c r="Y17">
        <v>1357352.07</v>
      </c>
      <c r="Z17">
        <v>0</v>
      </c>
      <c r="AA17">
        <v>0</v>
      </c>
      <c r="AB17">
        <v>0</v>
      </c>
      <c r="AC17">
        <v>0</v>
      </c>
      <c r="AD17">
        <v>1.46</v>
      </c>
      <c r="AE17">
        <v>2.3199999999999998</v>
      </c>
      <c r="AF17">
        <v>0.7</v>
      </c>
      <c r="AG17">
        <v>8.11</v>
      </c>
      <c r="AH17">
        <v>86370.22</v>
      </c>
      <c r="AI17">
        <v>27274.81</v>
      </c>
      <c r="AJ17">
        <v>104553.42</v>
      </c>
      <c r="AK17">
        <v>5674674.9199999999</v>
      </c>
      <c r="AL17">
        <v>77450.460000000006</v>
      </c>
      <c r="AM17">
        <v>17327.900000000001</v>
      </c>
      <c r="AN17">
        <v>50670.98</v>
      </c>
      <c r="AO17">
        <v>1357352.07</v>
      </c>
      <c r="AP17">
        <v>-68001.88</v>
      </c>
      <c r="AQ17">
        <v>-22459.71</v>
      </c>
      <c r="AR17">
        <v>-155223.4</v>
      </c>
      <c r="AS17">
        <v>-6997439.9900000002</v>
      </c>
      <c r="AT17">
        <v>0.453592</v>
      </c>
      <c r="AU17">
        <v>0.44043783199999997</v>
      </c>
      <c r="AV17">
        <v>24113.9713019999</v>
      </c>
      <c r="AW17">
        <v>0</v>
      </c>
      <c r="AY17">
        <v>177416.5356</v>
      </c>
      <c r="AZ17">
        <v>1.2961086438152001</v>
      </c>
      <c r="BA17">
        <v>208317.07317073099</v>
      </c>
      <c r="BB17">
        <v>1.5218511525870899</v>
      </c>
      <c r="BC17">
        <v>24.060219230769199</v>
      </c>
    </row>
    <row r="18" spans="1:55" x14ac:dyDescent="0.2">
      <c r="A18" t="s">
        <v>87</v>
      </c>
      <c r="B18" t="s">
        <v>88</v>
      </c>
      <c r="C18">
        <v>5990</v>
      </c>
      <c r="D18">
        <v>775</v>
      </c>
      <c r="E18">
        <v>1560</v>
      </c>
      <c r="F18">
        <v>1940</v>
      </c>
      <c r="G18">
        <v>350</v>
      </c>
      <c r="H18">
        <v>0</v>
      </c>
      <c r="I18">
        <v>10615</v>
      </c>
      <c r="J18">
        <v>200425.77</v>
      </c>
      <c r="K18">
        <v>2507249.71</v>
      </c>
      <c r="L18">
        <v>1755074.8</v>
      </c>
      <c r="M18">
        <v>417384.09</v>
      </c>
      <c r="N18">
        <v>1150283.1200000001</v>
      </c>
      <c r="O18">
        <v>3006818.1</v>
      </c>
      <c r="P18">
        <v>164040000</v>
      </c>
      <c r="Q18">
        <v>462701.23</v>
      </c>
      <c r="R18">
        <v>51199.93</v>
      </c>
      <c r="S18">
        <v>850453.97</v>
      </c>
      <c r="T18">
        <v>3503262.71</v>
      </c>
      <c r="U18">
        <v>70</v>
      </c>
      <c r="V18">
        <v>646475.34</v>
      </c>
      <c r="W18">
        <v>222433.35</v>
      </c>
      <c r="X18">
        <v>676263.63</v>
      </c>
      <c r="Y18">
        <v>0</v>
      </c>
      <c r="Z18">
        <v>462701.23</v>
      </c>
      <c r="AA18">
        <v>51199.93</v>
      </c>
      <c r="AB18">
        <v>850453.97</v>
      </c>
      <c r="AC18">
        <v>3503262.71</v>
      </c>
      <c r="AD18">
        <v>0.88</v>
      </c>
      <c r="AE18">
        <v>1.1200000000000001</v>
      </c>
      <c r="AF18">
        <v>0.92</v>
      </c>
      <c r="AG18">
        <v>1.73</v>
      </c>
      <c r="AH18">
        <v>220699.35</v>
      </c>
      <c r="AI18">
        <v>43518.18</v>
      </c>
      <c r="AJ18">
        <v>74602.600000000006</v>
      </c>
      <c r="AK18">
        <v>9729422.2100000009</v>
      </c>
      <c r="AL18">
        <v>1109176.5699999901</v>
      </c>
      <c r="AM18">
        <v>273633.28000000003</v>
      </c>
      <c r="AN18">
        <v>1526717.6</v>
      </c>
      <c r="AO18">
        <v>3503262.71</v>
      </c>
      <c r="AP18">
        <v>887900.11</v>
      </c>
      <c r="AQ18">
        <v>151432.56</v>
      </c>
      <c r="AR18">
        <v>399416.89</v>
      </c>
      <c r="AS18">
        <v>-6722604.1100000003</v>
      </c>
      <c r="AT18">
        <v>31.751439999999999</v>
      </c>
      <c r="AU18">
        <v>30.830648239999999</v>
      </c>
      <c r="AV18">
        <v>76127807.400413901</v>
      </c>
      <c r="AW18">
        <v>620958656.39999998</v>
      </c>
      <c r="AX18">
        <v>8.1567915536291</v>
      </c>
      <c r="AY18">
        <v>2589500.9483999899</v>
      </c>
      <c r="AZ18">
        <v>1.03280536361095</v>
      </c>
      <c r="BA18">
        <v>2952182.3170731701</v>
      </c>
      <c r="BB18">
        <v>1.1774584339559699</v>
      </c>
      <c r="BC18">
        <v>24.521303343628301</v>
      </c>
    </row>
    <row r="19" spans="1:55" x14ac:dyDescent="0.2">
      <c r="A19" t="s">
        <v>89</v>
      </c>
      <c r="B19" t="s">
        <v>90</v>
      </c>
      <c r="C19">
        <v>2790</v>
      </c>
      <c r="D19">
        <v>345</v>
      </c>
      <c r="E19">
        <v>500</v>
      </c>
      <c r="F19">
        <v>0</v>
      </c>
      <c r="G19">
        <v>0</v>
      </c>
      <c r="H19">
        <v>0</v>
      </c>
      <c r="I19">
        <v>3635</v>
      </c>
      <c r="J19">
        <v>84467.86</v>
      </c>
      <c r="K19">
        <v>1083332.05</v>
      </c>
      <c r="L19">
        <v>758332.44</v>
      </c>
      <c r="M19">
        <v>181544.71</v>
      </c>
      <c r="N19">
        <v>550479.02</v>
      </c>
      <c r="O19">
        <v>1396820.7</v>
      </c>
      <c r="P19">
        <v>119034000</v>
      </c>
      <c r="Q19">
        <v>315803.83</v>
      </c>
      <c r="R19">
        <v>64724.22</v>
      </c>
      <c r="S19">
        <v>431130.46</v>
      </c>
      <c r="T19">
        <v>2059556.35</v>
      </c>
      <c r="U19">
        <v>78</v>
      </c>
      <c r="V19">
        <v>180409.8</v>
      </c>
      <c r="W19">
        <v>31696.97</v>
      </c>
      <c r="X19">
        <v>163031.26999999999</v>
      </c>
      <c r="Y19">
        <v>0</v>
      </c>
      <c r="Z19">
        <v>315803.83</v>
      </c>
      <c r="AA19">
        <v>64724.22</v>
      </c>
      <c r="AB19">
        <v>431130.46</v>
      </c>
      <c r="AC19">
        <v>2059556.35</v>
      </c>
      <c r="AD19">
        <v>0.93</v>
      </c>
      <c r="AE19">
        <v>0.92</v>
      </c>
      <c r="AF19">
        <v>0.84</v>
      </c>
      <c r="AG19">
        <v>1.23</v>
      </c>
      <c r="AH19">
        <v>0</v>
      </c>
      <c r="AI19">
        <v>0</v>
      </c>
      <c r="AJ19">
        <v>0</v>
      </c>
      <c r="AK19">
        <v>0</v>
      </c>
      <c r="AL19">
        <v>496213.63</v>
      </c>
      <c r="AM19">
        <v>96421.19</v>
      </c>
      <c r="AN19">
        <v>594161.73</v>
      </c>
      <c r="AO19">
        <v>2059556.35</v>
      </c>
      <c r="AP19">
        <v>577922.64</v>
      </c>
      <c r="AQ19">
        <v>149847.74</v>
      </c>
      <c r="AR19">
        <v>387447.75</v>
      </c>
      <c r="AS19">
        <v>1396820.6999999899</v>
      </c>
      <c r="AT19">
        <v>35.380175999999999</v>
      </c>
      <c r="AU19">
        <v>34.354150896</v>
      </c>
      <c r="AV19">
        <v>39310596.016520403</v>
      </c>
      <c r="AW19">
        <v>450592493.94</v>
      </c>
      <c r="AX19">
        <v>11.462367392003801</v>
      </c>
      <c r="AY19">
        <v>1091324.7512000001</v>
      </c>
      <c r="AZ19">
        <v>1.0073778867707199</v>
      </c>
      <c r="BA19">
        <v>1211043.2926829199</v>
      </c>
      <c r="BB19">
        <v>1.11788744058936</v>
      </c>
      <c r="BC19">
        <v>25.458023743889399</v>
      </c>
    </row>
    <row r="20" spans="1:55" x14ac:dyDescent="0.2">
      <c r="A20" t="s">
        <v>91</v>
      </c>
      <c r="B20" t="s">
        <v>92</v>
      </c>
      <c r="C20">
        <v>970</v>
      </c>
      <c r="D20">
        <v>90</v>
      </c>
      <c r="E20">
        <v>355</v>
      </c>
      <c r="F20">
        <v>290</v>
      </c>
      <c r="G20">
        <v>105</v>
      </c>
      <c r="H20">
        <v>130</v>
      </c>
      <c r="I20">
        <v>1940</v>
      </c>
      <c r="J20">
        <v>35040.67</v>
      </c>
      <c r="K20">
        <v>438487.14</v>
      </c>
      <c r="L20">
        <v>306941</v>
      </c>
      <c r="M20">
        <v>72754.460000000006</v>
      </c>
      <c r="N20">
        <v>195858.43</v>
      </c>
      <c r="O20">
        <v>478728</v>
      </c>
      <c r="P20">
        <v>10812000</v>
      </c>
      <c r="Q20">
        <v>40797.07</v>
      </c>
      <c r="R20">
        <v>8000.73</v>
      </c>
      <c r="S20">
        <v>54125.17</v>
      </c>
      <c r="T20">
        <v>311058.87</v>
      </c>
      <c r="U20">
        <v>85</v>
      </c>
      <c r="V20">
        <v>60609.599999999999</v>
      </c>
      <c r="W20">
        <v>18111.599999999999</v>
      </c>
      <c r="X20">
        <v>85815.6</v>
      </c>
      <c r="Y20">
        <v>0</v>
      </c>
      <c r="Z20">
        <v>40797.07</v>
      </c>
      <c r="AA20">
        <v>8000.73</v>
      </c>
      <c r="AB20">
        <v>54125.17</v>
      </c>
      <c r="AC20">
        <v>311058.87</v>
      </c>
      <c r="AD20">
        <v>1.1100000000000001</v>
      </c>
      <c r="AE20">
        <v>1.26</v>
      </c>
      <c r="AF20">
        <v>1.1299999999999999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101406.67</v>
      </c>
      <c r="AM20">
        <v>26112.3299999999</v>
      </c>
      <c r="AN20">
        <v>139940.76999999999</v>
      </c>
      <c r="AO20">
        <v>311058.87</v>
      </c>
      <c r="AP20">
        <v>246331.4</v>
      </c>
      <c r="AQ20">
        <v>54642.86</v>
      </c>
      <c r="AR20">
        <v>110042.829999999</v>
      </c>
      <c r="AS20">
        <v>478728</v>
      </c>
      <c r="AT20">
        <v>38.555320000000002</v>
      </c>
      <c r="AU20">
        <v>37.437215719999998</v>
      </c>
      <c r="AV20">
        <v>14484458.762068</v>
      </c>
      <c r="AW20">
        <v>40927852.920000002</v>
      </c>
      <c r="AX20">
        <v>2.8256390930658801</v>
      </c>
      <c r="AY20">
        <v>452725.45639999898</v>
      </c>
      <c r="AZ20">
        <v>1.03247145720168</v>
      </c>
      <c r="BA20">
        <v>483491.463414634</v>
      </c>
      <c r="BB20">
        <v>1.1026354465370001</v>
      </c>
      <c r="BC20">
        <v>25.355938404518099</v>
      </c>
    </row>
    <row r="21" spans="1:55" x14ac:dyDescent="0.2">
      <c r="A21" t="s">
        <v>93</v>
      </c>
      <c r="B21" t="s">
        <v>94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0.7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0.7</v>
      </c>
      <c r="AQ21">
        <v>1</v>
      </c>
      <c r="AR21">
        <v>1</v>
      </c>
      <c r="AS21">
        <v>0</v>
      </c>
      <c r="AT21">
        <v>0.453592</v>
      </c>
      <c r="AU21">
        <v>0.44043783199999997</v>
      </c>
      <c r="AV21">
        <v>0</v>
      </c>
      <c r="AW21">
        <v>0</v>
      </c>
    </row>
    <row r="22" spans="1:55" x14ac:dyDescent="0.2">
      <c r="A22" t="s">
        <v>95</v>
      </c>
      <c r="B22" t="s">
        <v>96</v>
      </c>
      <c r="C22">
        <v>1996</v>
      </c>
      <c r="D22">
        <v>92</v>
      </c>
      <c r="E22">
        <v>0</v>
      </c>
      <c r="F22">
        <v>568</v>
      </c>
      <c r="G22">
        <v>315</v>
      </c>
      <c r="H22">
        <v>955</v>
      </c>
      <c r="I22">
        <v>3926</v>
      </c>
      <c r="J22">
        <v>60208.639999999999</v>
      </c>
      <c r="K22">
        <v>776502.65</v>
      </c>
      <c r="L22">
        <v>543551.86</v>
      </c>
      <c r="M22">
        <v>123963.14</v>
      </c>
      <c r="N22">
        <v>370150.04</v>
      </c>
      <c r="O22">
        <v>963604.8</v>
      </c>
      <c r="P22">
        <v>59850000</v>
      </c>
      <c r="Q22">
        <v>157599.09</v>
      </c>
      <c r="R22">
        <v>29034.01</v>
      </c>
      <c r="S22">
        <v>308588.25</v>
      </c>
      <c r="T22">
        <v>1473923.52</v>
      </c>
      <c r="U22">
        <v>60</v>
      </c>
      <c r="V22">
        <v>248997.36</v>
      </c>
      <c r="W22">
        <v>79025.119999999995</v>
      </c>
      <c r="X22">
        <v>247584.28</v>
      </c>
      <c r="Y22">
        <v>4876046</v>
      </c>
      <c r="Z22">
        <v>157599.09</v>
      </c>
      <c r="AA22">
        <v>29034.01</v>
      </c>
      <c r="AB22">
        <v>308588.25</v>
      </c>
      <c r="AC22">
        <v>1473923.52</v>
      </c>
      <c r="AD22">
        <v>1.05</v>
      </c>
      <c r="AE22">
        <v>1.01</v>
      </c>
      <c r="AF22">
        <v>0.87</v>
      </c>
      <c r="AG22">
        <v>4.01</v>
      </c>
      <c r="AH22">
        <v>0</v>
      </c>
      <c r="AI22">
        <v>0</v>
      </c>
      <c r="AJ22">
        <v>0</v>
      </c>
      <c r="AK22">
        <v>0</v>
      </c>
      <c r="AL22">
        <v>406596.44999999902</v>
      </c>
      <c r="AM22">
        <v>108059.129999999</v>
      </c>
      <c r="AN22">
        <v>556172.53</v>
      </c>
      <c r="AO22">
        <v>6349969.5199999996</v>
      </c>
      <c r="AP22">
        <v>294554.5</v>
      </c>
      <c r="AQ22">
        <v>44938.02</v>
      </c>
      <c r="AR22">
        <v>122565.75999999999</v>
      </c>
      <c r="AS22">
        <v>-3912441.1999999899</v>
      </c>
      <c r="AT22">
        <v>27.215519999999898</v>
      </c>
      <c r="AU22">
        <v>26.4262699199999</v>
      </c>
      <c r="AV22">
        <v>20139988.831430301</v>
      </c>
      <c r="AW22">
        <v>226556788.5</v>
      </c>
      <c r="AX22">
        <v>11.2491019928688</v>
      </c>
      <c r="AY22">
        <v>777895.62879999995</v>
      </c>
      <c r="AZ22">
        <v>1.00179391377479</v>
      </c>
      <c r="BA22">
        <v>894499.26829268294</v>
      </c>
      <c r="BB22">
        <v>1.15195906709743</v>
      </c>
      <c r="BC22">
        <v>21.811255190938098</v>
      </c>
    </row>
    <row r="23" spans="1:55" x14ac:dyDescent="0.2">
      <c r="A23" t="s">
        <v>97</v>
      </c>
      <c r="B23" t="s">
        <v>98</v>
      </c>
      <c r="C23">
        <v>700</v>
      </c>
      <c r="D23">
        <v>400</v>
      </c>
      <c r="E23">
        <v>480</v>
      </c>
      <c r="F23">
        <v>300</v>
      </c>
      <c r="G23">
        <v>70</v>
      </c>
      <c r="H23">
        <v>0</v>
      </c>
      <c r="I23">
        <v>1950</v>
      </c>
      <c r="J23">
        <v>31025.67</v>
      </c>
      <c r="K23">
        <v>371075.22</v>
      </c>
      <c r="L23">
        <v>259752.65</v>
      </c>
      <c r="M23">
        <v>59746.2</v>
      </c>
      <c r="N23">
        <v>129812.14</v>
      </c>
      <c r="O23">
        <v>422730</v>
      </c>
      <c r="P23">
        <v>46282000</v>
      </c>
      <c r="Q23">
        <v>121802.7</v>
      </c>
      <c r="R23">
        <v>23287.17</v>
      </c>
      <c r="S23">
        <v>174259.21</v>
      </c>
      <c r="T23">
        <v>1019203.85</v>
      </c>
      <c r="U23">
        <v>60</v>
      </c>
      <c r="V23">
        <v>45962.8</v>
      </c>
      <c r="W23">
        <v>17407.29</v>
      </c>
      <c r="X23">
        <v>40248.79</v>
      </c>
      <c r="Y23">
        <v>275159.03999999998</v>
      </c>
      <c r="Z23">
        <v>121802.7</v>
      </c>
      <c r="AA23">
        <v>23287.17</v>
      </c>
      <c r="AB23">
        <v>174259.21</v>
      </c>
      <c r="AC23">
        <v>1019203.85</v>
      </c>
      <c r="AD23">
        <v>0.57999999999999996</v>
      </c>
      <c r="AE23">
        <v>0.73</v>
      </c>
      <c r="AF23">
        <v>0.57999999999999996</v>
      </c>
      <c r="AG23">
        <v>2.4300000000000002</v>
      </c>
      <c r="AH23">
        <v>82225.2</v>
      </c>
      <c r="AI23">
        <v>57275.01</v>
      </c>
      <c r="AJ23">
        <v>96768.5</v>
      </c>
      <c r="AK23">
        <v>1229616.96</v>
      </c>
      <c r="AL23">
        <v>167765.5</v>
      </c>
      <c r="AM23">
        <v>40694.46</v>
      </c>
      <c r="AN23">
        <v>214508</v>
      </c>
      <c r="AO23">
        <v>1294362.8899999999</v>
      </c>
      <c r="AP23">
        <v>131564.649999999</v>
      </c>
      <c r="AQ23">
        <v>-14936.1</v>
      </c>
      <c r="AR23">
        <v>-7205.1500000000196</v>
      </c>
      <c r="AS23">
        <v>-1082045.99999999</v>
      </c>
      <c r="AT23">
        <v>27.215519999999898</v>
      </c>
      <c r="AU23">
        <v>26.4262699199999</v>
      </c>
      <c r="AV23">
        <v>10610147.3728799</v>
      </c>
      <c r="AW23">
        <v>175196345.62</v>
      </c>
      <c r="AX23">
        <v>16.5121500637973</v>
      </c>
      <c r="AY23">
        <v>400851.65639999998</v>
      </c>
      <c r="AZ23">
        <v>1.0802436670387201</v>
      </c>
      <c r="BA23">
        <v>508774.39024390199</v>
      </c>
      <c r="BB23">
        <v>1.3710815565747001</v>
      </c>
      <c r="BC23">
        <v>21.988806741573001</v>
      </c>
    </row>
    <row r="24" spans="1:55" x14ac:dyDescent="0.2">
      <c r="A24" t="s">
        <v>99</v>
      </c>
      <c r="B24" t="s">
        <v>100</v>
      </c>
      <c r="C24">
        <v>278</v>
      </c>
      <c r="D24">
        <v>25</v>
      </c>
      <c r="E24">
        <v>155</v>
      </c>
      <c r="F24">
        <v>100</v>
      </c>
      <c r="G24">
        <v>0</v>
      </c>
      <c r="H24">
        <v>0</v>
      </c>
      <c r="I24">
        <v>558</v>
      </c>
      <c r="J24">
        <v>10232.09</v>
      </c>
      <c r="K24">
        <v>126609.39</v>
      </c>
      <c r="L24">
        <v>88626.57</v>
      </c>
      <c r="M24">
        <v>21324.41</v>
      </c>
      <c r="N24">
        <v>55216.89</v>
      </c>
      <c r="O24">
        <v>137019.42000000001</v>
      </c>
      <c r="P24">
        <v>5685900</v>
      </c>
      <c r="Q24">
        <v>8919.81</v>
      </c>
      <c r="R24">
        <v>1961.82</v>
      </c>
      <c r="S24">
        <v>14442.83</v>
      </c>
      <c r="T24">
        <v>87442.3</v>
      </c>
      <c r="U24">
        <v>80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154474.26</v>
      </c>
      <c r="AI24">
        <v>49121.49</v>
      </c>
      <c r="AJ24">
        <v>192724.53</v>
      </c>
      <c r="AK24">
        <v>533676.09</v>
      </c>
      <c r="AL24">
        <v>0</v>
      </c>
      <c r="AM24">
        <v>0</v>
      </c>
      <c r="AN24">
        <v>0</v>
      </c>
      <c r="AO24">
        <v>0</v>
      </c>
      <c r="AP24">
        <v>-56927.88</v>
      </c>
      <c r="AQ24">
        <v>-25835.26</v>
      </c>
      <c r="AR24">
        <v>-123064.81</v>
      </c>
      <c r="AS24">
        <v>-309214.36999999901</v>
      </c>
      <c r="AT24">
        <v>36.28736</v>
      </c>
      <c r="AU24">
        <v>35.235026560000001</v>
      </c>
      <c r="AV24">
        <v>3896817.7624031999</v>
      </c>
      <c r="AW24">
        <v>21523462.719000001</v>
      </c>
      <c r="AX24">
        <v>5.5233434128380399</v>
      </c>
      <c r="AY24">
        <v>132198.60279999999</v>
      </c>
      <c r="AZ24">
        <v>1.0441453260299201</v>
      </c>
      <c r="BA24">
        <v>144646.829268292</v>
      </c>
      <c r="BB24">
        <v>1.14246525686833</v>
      </c>
      <c r="BC24">
        <v>25.8195279419005</v>
      </c>
    </row>
    <row r="25" spans="1:55" x14ac:dyDescent="0.2">
      <c r="A25" t="s">
        <v>101</v>
      </c>
      <c r="B25" t="s">
        <v>102</v>
      </c>
      <c r="C25">
        <v>1254</v>
      </c>
      <c r="D25">
        <v>180</v>
      </c>
      <c r="E25">
        <v>398</v>
      </c>
      <c r="F25">
        <v>501</v>
      </c>
      <c r="G25">
        <v>211</v>
      </c>
      <c r="H25">
        <v>147</v>
      </c>
      <c r="I25">
        <v>2691</v>
      </c>
      <c r="J25">
        <v>45243.58</v>
      </c>
      <c r="K25">
        <v>562410.61</v>
      </c>
      <c r="L25">
        <v>393687.43</v>
      </c>
      <c r="M25">
        <v>92226.78</v>
      </c>
      <c r="N25">
        <v>242462.79</v>
      </c>
      <c r="O25">
        <v>633567.96</v>
      </c>
      <c r="P25">
        <v>6535860</v>
      </c>
      <c r="Q25">
        <v>32478.43</v>
      </c>
      <c r="R25">
        <v>4154.04</v>
      </c>
      <c r="S25">
        <v>37743.620000000003</v>
      </c>
      <c r="T25">
        <v>191383.47</v>
      </c>
      <c r="U25">
        <v>72</v>
      </c>
      <c r="V25">
        <v>0</v>
      </c>
      <c r="W25">
        <v>0</v>
      </c>
      <c r="X25">
        <v>0</v>
      </c>
      <c r="Y25">
        <v>0</v>
      </c>
      <c r="Z25">
        <v>32478.43</v>
      </c>
      <c r="AA25">
        <v>4154.04</v>
      </c>
      <c r="AB25">
        <v>37743.620000000003</v>
      </c>
      <c r="AC25">
        <v>191383.47</v>
      </c>
      <c r="AD25">
        <v>0.32</v>
      </c>
      <c r="AE25">
        <v>0.09</v>
      </c>
      <c r="AF25">
        <v>0.09</v>
      </c>
      <c r="AG25">
        <v>2.29</v>
      </c>
      <c r="AH25">
        <v>0</v>
      </c>
      <c r="AI25">
        <v>0</v>
      </c>
      <c r="AJ25">
        <v>0</v>
      </c>
      <c r="AK25">
        <v>0</v>
      </c>
      <c r="AL25">
        <v>32478.43</v>
      </c>
      <c r="AM25">
        <v>4154.04</v>
      </c>
      <c r="AN25">
        <v>37743.620000000003</v>
      </c>
      <c r="AO25">
        <v>191383.47</v>
      </c>
      <c r="AP25">
        <v>393687.43</v>
      </c>
      <c r="AQ25">
        <v>92226.78</v>
      </c>
      <c r="AR25">
        <v>242462.79</v>
      </c>
      <c r="AS25">
        <v>633567.96</v>
      </c>
      <c r="AT25">
        <v>32.658624000000003</v>
      </c>
      <c r="AU25">
        <v>31.711523904</v>
      </c>
      <c r="AV25">
        <v>16598128.7265926</v>
      </c>
      <c r="AW25">
        <v>24740909.8026</v>
      </c>
      <c r="AX25">
        <v>1.4905842827307001</v>
      </c>
      <c r="AY25">
        <v>584547.05359999998</v>
      </c>
      <c r="AZ25">
        <v>1.0393599324166301</v>
      </c>
      <c r="BA25">
        <v>659394.75609756098</v>
      </c>
      <c r="BB25">
        <v>1.1724436637096101</v>
      </c>
      <c r="BC25">
        <v>23.889384022975101</v>
      </c>
    </row>
    <row r="26" spans="1:55" x14ac:dyDescent="0.2">
      <c r="A26" t="s">
        <v>103</v>
      </c>
      <c r="B26" t="s">
        <v>104</v>
      </c>
      <c r="C26">
        <v>1437</v>
      </c>
      <c r="D26">
        <v>138</v>
      </c>
      <c r="E26">
        <v>112</v>
      </c>
      <c r="F26">
        <v>0</v>
      </c>
      <c r="G26">
        <v>0</v>
      </c>
      <c r="H26">
        <v>0</v>
      </c>
      <c r="I26">
        <v>1687</v>
      </c>
      <c r="J26">
        <v>41859.4</v>
      </c>
      <c r="K26">
        <v>541284.11</v>
      </c>
      <c r="L26">
        <v>378898.88</v>
      </c>
      <c r="M26">
        <v>91015.99</v>
      </c>
      <c r="N26">
        <v>285419.68</v>
      </c>
      <c r="O26">
        <v>710285.22</v>
      </c>
      <c r="P26">
        <v>20287565</v>
      </c>
      <c r="Q26">
        <v>118746.39</v>
      </c>
      <c r="R26">
        <v>6210.57</v>
      </c>
      <c r="S26">
        <v>97694.86</v>
      </c>
      <c r="T26">
        <v>1165605.23</v>
      </c>
      <c r="U26">
        <v>80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249026.76</v>
      </c>
      <c r="AI26">
        <v>12756.68</v>
      </c>
      <c r="AJ26">
        <v>201020.67</v>
      </c>
      <c r="AK26">
        <v>1165605.23</v>
      </c>
      <c r="AL26">
        <v>0</v>
      </c>
      <c r="AM26">
        <v>0</v>
      </c>
      <c r="AN26">
        <v>0</v>
      </c>
      <c r="AO26">
        <v>0</v>
      </c>
      <c r="AP26">
        <v>248618.51</v>
      </c>
      <c r="AQ26">
        <v>84469.88</v>
      </c>
      <c r="AR26">
        <v>182093.86999999901</v>
      </c>
      <c r="AS26">
        <v>710285.22</v>
      </c>
      <c r="AT26">
        <v>36.28736</v>
      </c>
      <c r="AU26">
        <v>35.235026560000001</v>
      </c>
      <c r="AV26">
        <v>20255735.893679999</v>
      </c>
      <c r="AW26">
        <v>76796751.426650003</v>
      </c>
      <c r="AX26">
        <v>3.7913582517933202</v>
      </c>
      <c r="AY26">
        <v>540823.44799999997</v>
      </c>
      <c r="AZ26">
        <v>0.99914894601284299</v>
      </c>
      <c r="BA26">
        <v>589831.097560975</v>
      </c>
      <c r="BB26">
        <v>1.0896885511029899</v>
      </c>
      <c r="BC26">
        <v>25.903485019998399</v>
      </c>
    </row>
    <row r="27" spans="1:55" x14ac:dyDescent="0.2">
      <c r="A27" t="s">
        <v>105</v>
      </c>
      <c r="B27" t="s">
        <v>106</v>
      </c>
      <c r="C27">
        <v>955</v>
      </c>
      <c r="D27">
        <v>130</v>
      </c>
      <c r="E27">
        <v>400</v>
      </c>
      <c r="F27">
        <v>330</v>
      </c>
      <c r="G27">
        <v>95</v>
      </c>
      <c r="H27">
        <v>1</v>
      </c>
      <c r="I27">
        <v>1911</v>
      </c>
      <c r="J27">
        <v>34060.639999999999</v>
      </c>
      <c r="K27">
        <v>421126.41</v>
      </c>
      <c r="L27">
        <v>294788.49</v>
      </c>
      <c r="M27">
        <v>69964.12</v>
      </c>
      <c r="N27">
        <v>184146.18</v>
      </c>
      <c r="O27">
        <v>479555.25</v>
      </c>
      <c r="P27">
        <v>6682500</v>
      </c>
      <c r="Q27">
        <v>41396.92</v>
      </c>
      <c r="R27">
        <v>7662.69</v>
      </c>
      <c r="S27">
        <v>33901.19</v>
      </c>
      <c r="T27">
        <v>191617.89</v>
      </c>
      <c r="U27">
        <v>72</v>
      </c>
      <c r="V27">
        <v>0</v>
      </c>
      <c r="W27">
        <v>0</v>
      </c>
      <c r="X27">
        <v>0</v>
      </c>
      <c r="Y27">
        <v>0</v>
      </c>
      <c r="Z27">
        <v>41396.92</v>
      </c>
      <c r="AA27">
        <v>7662.69</v>
      </c>
      <c r="AB27">
        <v>33901.19</v>
      </c>
      <c r="AC27">
        <v>191617.89</v>
      </c>
      <c r="AD27">
        <v>1.03</v>
      </c>
      <c r="AE27">
        <v>0.66</v>
      </c>
      <c r="AF27">
        <v>0.54</v>
      </c>
      <c r="AG27">
        <v>0.78</v>
      </c>
      <c r="AH27">
        <v>161521.66</v>
      </c>
      <c r="AI27">
        <v>48781.71</v>
      </c>
      <c r="AJ27">
        <v>248244.7</v>
      </c>
      <c r="AK27">
        <v>0</v>
      </c>
      <c r="AL27">
        <v>41396.92</v>
      </c>
      <c r="AM27">
        <v>7662.69</v>
      </c>
      <c r="AN27">
        <v>33901.19</v>
      </c>
      <c r="AO27">
        <v>191617.89</v>
      </c>
      <c r="AP27">
        <v>133266.82999999999</v>
      </c>
      <c r="AQ27">
        <v>21182.409999999902</v>
      </c>
      <c r="AR27">
        <v>-64098.52</v>
      </c>
      <c r="AS27">
        <v>479555.25</v>
      </c>
      <c r="AT27">
        <v>32.658624000000003</v>
      </c>
      <c r="AU27">
        <v>31.711523904</v>
      </c>
      <c r="AV27">
        <v>12558556.254081599</v>
      </c>
      <c r="AW27">
        <v>25296002.324999999</v>
      </c>
      <c r="AX27">
        <v>2.0142444571826199</v>
      </c>
      <c r="AY27">
        <v>440063.46879999997</v>
      </c>
      <c r="AZ27">
        <v>1.0449676352523201</v>
      </c>
      <c r="BA27">
        <v>497779.87804878002</v>
      </c>
      <c r="BB27">
        <v>1.18202009237269</v>
      </c>
      <c r="BC27">
        <v>24.553604219780201</v>
      </c>
    </row>
    <row r="28" spans="1:55" x14ac:dyDescent="0.2">
      <c r="A28" t="s">
        <v>107</v>
      </c>
      <c r="B28" t="s">
        <v>108</v>
      </c>
      <c r="C28">
        <v>625</v>
      </c>
      <c r="D28">
        <v>48</v>
      </c>
      <c r="E28">
        <v>100</v>
      </c>
      <c r="F28">
        <v>100</v>
      </c>
      <c r="G28">
        <v>100</v>
      </c>
      <c r="H28">
        <v>0</v>
      </c>
      <c r="I28">
        <v>973</v>
      </c>
      <c r="J28">
        <v>18684.61</v>
      </c>
      <c r="K28">
        <v>237356.85</v>
      </c>
      <c r="L28">
        <v>166149.79999999999</v>
      </c>
      <c r="M28">
        <v>39265.050000000003</v>
      </c>
      <c r="N28">
        <v>117550.69</v>
      </c>
      <c r="O28">
        <v>306155.34000000003</v>
      </c>
      <c r="P28">
        <v>16275000</v>
      </c>
      <c r="Q28">
        <v>51499.39</v>
      </c>
      <c r="R28">
        <v>3805.14</v>
      </c>
      <c r="S28">
        <v>28432.959999999999</v>
      </c>
      <c r="T28">
        <v>150589.70000000001</v>
      </c>
      <c r="U28">
        <v>64</v>
      </c>
      <c r="V28">
        <v>0</v>
      </c>
      <c r="W28">
        <v>0</v>
      </c>
      <c r="X28">
        <v>0</v>
      </c>
      <c r="Y28">
        <v>0</v>
      </c>
      <c r="Z28">
        <v>51499.39</v>
      </c>
      <c r="AA28">
        <v>3805.14</v>
      </c>
      <c r="AB28">
        <v>28432.959999999999</v>
      </c>
      <c r="AC28">
        <v>150589.70000000001</v>
      </c>
      <c r="AD28">
        <v>1.24</v>
      </c>
      <c r="AE28">
        <v>0.61</v>
      </c>
      <c r="AF28">
        <v>0.72</v>
      </c>
      <c r="AG28">
        <v>1.52</v>
      </c>
      <c r="AH28">
        <v>66640</v>
      </c>
      <c r="AI28">
        <v>15680</v>
      </c>
      <c r="AJ28">
        <v>106400</v>
      </c>
      <c r="AK28">
        <v>1106268.8</v>
      </c>
      <c r="AL28">
        <v>51499.39</v>
      </c>
      <c r="AM28">
        <v>3805.14</v>
      </c>
      <c r="AN28">
        <v>28432.959999999999</v>
      </c>
      <c r="AO28">
        <v>150589.70000000001</v>
      </c>
      <c r="AP28">
        <v>99509.799999999901</v>
      </c>
      <c r="AQ28">
        <v>23585.05</v>
      </c>
      <c r="AR28">
        <v>11150.69</v>
      </c>
      <c r="AS28">
        <v>-800113.46</v>
      </c>
      <c r="AT28">
        <v>29.029888</v>
      </c>
      <c r="AU28">
        <v>28.188021247999998</v>
      </c>
      <c r="AV28">
        <v>6924246.47946495</v>
      </c>
      <c r="AW28">
        <v>61607547.75</v>
      </c>
      <c r="AX28">
        <v>8.8973649237801897</v>
      </c>
      <c r="AY28">
        <v>241405.1612</v>
      </c>
      <c r="AZ28">
        <v>1.0170558010017401</v>
      </c>
      <c r="BA28">
        <v>276803.53658536501</v>
      </c>
      <c r="BB28">
        <v>1.1661914816672201</v>
      </c>
      <c r="BC28">
        <v>23.8702835509301</v>
      </c>
    </row>
    <row r="29" spans="1:55" x14ac:dyDescent="0.2">
      <c r="A29" t="s">
        <v>109</v>
      </c>
      <c r="B29" t="s">
        <v>110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100</v>
      </c>
      <c r="J29">
        <v>883.52</v>
      </c>
      <c r="K29">
        <v>9516</v>
      </c>
      <c r="L29">
        <v>6661.2</v>
      </c>
      <c r="M29">
        <v>1610.4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0.13</v>
      </c>
      <c r="AE29">
        <v>0</v>
      </c>
      <c r="AF29">
        <v>0</v>
      </c>
      <c r="AG29">
        <v>0.13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6661.2</v>
      </c>
      <c r="AQ29">
        <v>1610.4</v>
      </c>
      <c r="AR29">
        <v>1</v>
      </c>
      <c r="AS29">
        <v>0</v>
      </c>
      <c r="AT29">
        <v>0.453592</v>
      </c>
      <c r="AU29">
        <v>0.44043783199999997</v>
      </c>
      <c r="AV29">
        <v>0</v>
      </c>
      <c r="AW29">
        <v>0</v>
      </c>
      <c r="AY29">
        <v>11415.0784</v>
      </c>
      <c r="AZ29">
        <v>1.199566876839</v>
      </c>
      <c r="BA29">
        <v>13353.658536585301</v>
      </c>
      <c r="BB29">
        <v>1.40328483991019</v>
      </c>
      <c r="BC29">
        <v>24.149546666666598</v>
      </c>
    </row>
    <row r="30" spans="1:55" x14ac:dyDescent="0.2">
      <c r="A30" t="s">
        <v>111</v>
      </c>
      <c r="B30" t="s">
        <v>112</v>
      </c>
      <c r="C30">
        <v>0</v>
      </c>
      <c r="D30">
        <v>0</v>
      </c>
      <c r="E30">
        <v>125</v>
      </c>
      <c r="F30">
        <v>110</v>
      </c>
      <c r="G30">
        <v>0</v>
      </c>
      <c r="H30">
        <v>0</v>
      </c>
      <c r="I30">
        <v>235</v>
      </c>
      <c r="J30">
        <v>2446.85</v>
      </c>
      <c r="K30">
        <v>22362.6</v>
      </c>
      <c r="L30">
        <v>15653.82</v>
      </c>
      <c r="M30">
        <v>3784.44</v>
      </c>
      <c r="N30">
        <v>1</v>
      </c>
      <c r="O30">
        <v>0</v>
      </c>
      <c r="P30">
        <v>4905000</v>
      </c>
      <c r="Q30">
        <v>14391.77</v>
      </c>
      <c r="R30">
        <v>3290.95</v>
      </c>
      <c r="S30">
        <v>45434.77</v>
      </c>
      <c r="T30">
        <v>225127.24</v>
      </c>
      <c r="U30">
        <v>1</v>
      </c>
      <c r="V30">
        <v>0</v>
      </c>
      <c r="W30">
        <v>0</v>
      </c>
      <c r="X30">
        <v>0</v>
      </c>
      <c r="Y30">
        <v>0</v>
      </c>
      <c r="Z30">
        <v>14391.77</v>
      </c>
      <c r="AA30">
        <v>3290.95</v>
      </c>
      <c r="AB30">
        <v>45434.77</v>
      </c>
      <c r="AC30">
        <v>225127.24</v>
      </c>
      <c r="AD30">
        <v>1.1599999999999999</v>
      </c>
      <c r="AE30">
        <v>0.18</v>
      </c>
      <c r="AF30">
        <v>0.74</v>
      </c>
      <c r="AG30">
        <v>1.0900000000000001</v>
      </c>
      <c r="AH30">
        <v>0</v>
      </c>
      <c r="AI30">
        <v>0</v>
      </c>
      <c r="AJ30">
        <v>0</v>
      </c>
      <c r="AK30">
        <v>0</v>
      </c>
      <c r="AL30">
        <v>14391.77</v>
      </c>
      <c r="AM30">
        <v>3290.95</v>
      </c>
      <c r="AN30">
        <v>45434.77</v>
      </c>
      <c r="AO30">
        <v>225127.24</v>
      </c>
      <c r="AP30">
        <v>15653.82</v>
      </c>
      <c r="AQ30">
        <v>3784.4399999999901</v>
      </c>
      <c r="AR30">
        <v>1</v>
      </c>
      <c r="AS30">
        <v>0</v>
      </c>
      <c r="AT30">
        <v>0.453592</v>
      </c>
      <c r="AU30">
        <v>0.44043783199999997</v>
      </c>
      <c r="AV30">
        <v>0</v>
      </c>
      <c r="AW30">
        <v>18567436.050000001</v>
      </c>
      <c r="AY30">
        <v>31613.302</v>
      </c>
      <c r="AZ30">
        <v>1.41366844642394</v>
      </c>
      <c r="BA30">
        <v>31381.097560975599</v>
      </c>
      <c r="BB30">
        <v>1.40328483991019</v>
      </c>
      <c r="BC30">
        <v>28.459815602836802</v>
      </c>
    </row>
    <row r="31" spans="1:55" x14ac:dyDescent="0.2">
      <c r="A31" t="s">
        <v>113</v>
      </c>
      <c r="B31" t="s">
        <v>114</v>
      </c>
      <c r="C31">
        <v>0</v>
      </c>
      <c r="D31">
        <v>0</v>
      </c>
      <c r="E31">
        <v>75</v>
      </c>
      <c r="F31">
        <v>15</v>
      </c>
      <c r="G31">
        <v>0</v>
      </c>
      <c r="H31">
        <v>0</v>
      </c>
      <c r="I31">
        <v>90</v>
      </c>
      <c r="J31">
        <v>708.7</v>
      </c>
      <c r="K31">
        <v>8564.4</v>
      </c>
      <c r="L31">
        <v>5995.08</v>
      </c>
      <c r="M31">
        <v>1449.36</v>
      </c>
      <c r="N31">
        <v>1</v>
      </c>
      <c r="O31">
        <v>0</v>
      </c>
      <c r="P31">
        <v>16128000</v>
      </c>
      <c r="Q31">
        <v>18582.78</v>
      </c>
      <c r="R31">
        <v>3036.89</v>
      </c>
      <c r="S31">
        <v>33976.300000000003</v>
      </c>
      <c r="T31">
        <v>413954.73</v>
      </c>
      <c r="U31">
        <v>1</v>
      </c>
      <c r="V31">
        <v>40920.879999999997</v>
      </c>
      <c r="W31">
        <v>19553.810000000001</v>
      </c>
      <c r="X31">
        <v>60768.73</v>
      </c>
      <c r="Y31">
        <v>0</v>
      </c>
      <c r="Z31">
        <v>18582.78</v>
      </c>
      <c r="AA31">
        <v>3036.89</v>
      </c>
      <c r="AB31">
        <v>33976.300000000003</v>
      </c>
      <c r="AC31">
        <v>413954.73</v>
      </c>
      <c r="AD31">
        <v>0.63</v>
      </c>
      <c r="AE31">
        <v>1.2</v>
      </c>
      <c r="AF31">
        <v>0.76</v>
      </c>
      <c r="AG31">
        <v>1.1299999999999999</v>
      </c>
      <c r="AH31">
        <v>0</v>
      </c>
      <c r="AI31">
        <v>0</v>
      </c>
      <c r="AJ31">
        <v>0</v>
      </c>
      <c r="AK31">
        <v>0</v>
      </c>
      <c r="AL31">
        <v>59503.659999999902</v>
      </c>
      <c r="AM31">
        <v>22590.7</v>
      </c>
      <c r="AN31">
        <v>94745.03</v>
      </c>
      <c r="AO31">
        <v>413954.73</v>
      </c>
      <c r="AP31">
        <v>-34925.799999999901</v>
      </c>
      <c r="AQ31">
        <v>-18104.45</v>
      </c>
      <c r="AR31">
        <v>-60767.729999999901</v>
      </c>
      <c r="AS31">
        <v>0</v>
      </c>
      <c r="AT31">
        <v>0.453592</v>
      </c>
      <c r="AU31">
        <v>0.44043783199999997</v>
      </c>
      <c r="AV31">
        <v>0</v>
      </c>
      <c r="AW31">
        <v>61051092.479999997</v>
      </c>
      <c r="AY31">
        <v>9156.4040000000005</v>
      </c>
      <c r="AZ31">
        <v>1.0691238148615101</v>
      </c>
      <c r="BA31">
        <v>12018.2926829268</v>
      </c>
      <c r="BB31">
        <v>1.40328483991019</v>
      </c>
      <c r="BC31">
        <v>21.523481481481401</v>
      </c>
    </row>
    <row r="32" spans="1:55" x14ac:dyDescent="0.2">
      <c r="A32" t="s">
        <v>115</v>
      </c>
      <c r="B32" t="s">
        <v>116</v>
      </c>
      <c r="C32">
        <v>3550</v>
      </c>
      <c r="D32">
        <v>550</v>
      </c>
      <c r="E32">
        <v>1925</v>
      </c>
      <c r="F32">
        <v>1810</v>
      </c>
      <c r="G32">
        <v>635</v>
      </c>
      <c r="H32">
        <v>615</v>
      </c>
      <c r="I32">
        <v>9085</v>
      </c>
      <c r="J32">
        <v>141717.10999999999</v>
      </c>
      <c r="K32">
        <v>1735832.9</v>
      </c>
      <c r="L32">
        <v>1215083.03</v>
      </c>
      <c r="M32">
        <v>284094.46000000002</v>
      </c>
      <c r="N32">
        <v>691075.34</v>
      </c>
      <c r="O32">
        <v>1802916</v>
      </c>
      <c r="P32">
        <v>188257500</v>
      </c>
      <c r="Q32">
        <v>334512.19</v>
      </c>
      <c r="R32">
        <v>78218.759999999995</v>
      </c>
      <c r="S32">
        <v>502048.99</v>
      </c>
      <c r="T32">
        <v>2681473.44</v>
      </c>
      <c r="U32">
        <v>74</v>
      </c>
      <c r="V32">
        <v>403359.19</v>
      </c>
      <c r="W32">
        <v>129788.26</v>
      </c>
      <c r="X32">
        <v>502443.31</v>
      </c>
      <c r="Y32">
        <v>0</v>
      </c>
      <c r="Z32">
        <v>334512.19</v>
      </c>
      <c r="AA32">
        <v>78218.759999999995</v>
      </c>
      <c r="AB32">
        <v>502048.99</v>
      </c>
      <c r="AC32">
        <v>2681473.44</v>
      </c>
      <c r="AD32">
        <v>1.1100000000000001</v>
      </c>
      <c r="AE32">
        <v>1.28</v>
      </c>
      <c r="AF32">
        <v>0.84</v>
      </c>
      <c r="AG32">
        <v>3</v>
      </c>
      <c r="AH32">
        <v>170053.58</v>
      </c>
      <c r="AI32">
        <v>50457.79</v>
      </c>
      <c r="AJ32">
        <v>218018.83</v>
      </c>
      <c r="AK32">
        <v>1575917.85</v>
      </c>
      <c r="AL32">
        <v>737871.38</v>
      </c>
      <c r="AM32">
        <v>208007.02</v>
      </c>
      <c r="AN32">
        <v>1004492.3</v>
      </c>
      <c r="AO32">
        <v>2681473.44</v>
      </c>
      <c r="AP32">
        <v>641670.26</v>
      </c>
      <c r="AQ32">
        <v>103848.41</v>
      </c>
      <c r="AR32">
        <v>-29386.799999999901</v>
      </c>
      <c r="AS32">
        <v>226998.149999999</v>
      </c>
      <c r="AT32">
        <v>33.565807999999997</v>
      </c>
      <c r="AU32">
        <v>32.592399567999998</v>
      </c>
      <c r="AV32">
        <v>48774525.953511998</v>
      </c>
      <c r="AW32">
        <v>712631823.07500005</v>
      </c>
      <c r="AX32">
        <v>14.6107380675359</v>
      </c>
      <c r="AY32">
        <v>1830985.0611999901</v>
      </c>
      <c r="AZ32">
        <v>1.0548164291620401</v>
      </c>
      <c r="BA32">
        <v>2050899.3902439</v>
      </c>
      <c r="BB32">
        <v>1.1815073848663</v>
      </c>
      <c r="BC32">
        <v>23.9234236129696</v>
      </c>
    </row>
    <row r="33" spans="1:55" x14ac:dyDescent="0.2">
      <c r="A33" t="s">
        <v>117</v>
      </c>
      <c r="B33" t="s">
        <v>118</v>
      </c>
      <c r="C33">
        <v>2600</v>
      </c>
      <c r="D33">
        <v>150</v>
      </c>
      <c r="E33">
        <v>200</v>
      </c>
      <c r="F33">
        <v>500</v>
      </c>
      <c r="G33">
        <v>500</v>
      </c>
      <c r="H33">
        <v>0</v>
      </c>
      <c r="I33">
        <v>3950</v>
      </c>
      <c r="J33">
        <v>77114.570000000007</v>
      </c>
      <c r="K33">
        <v>986058.22</v>
      </c>
      <c r="L33">
        <v>690240.75</v>
      </c>
      <c r="M33">
        <v>163263.54</v>
      </c>
      <c r="N33">
        <v>495862.4</v>
      </c>
      <c r="O33">
        <v>1262151</v>
      </c>
      <c r="P33">
        <v>95960000</v>
      </c>
      <c r="Q33">
        <v>314897.91999999998</v>
      </c>
      <c r="R33">
        <v>25787.87</v>
      </c>
      <c r="S33">
        <v>201228.55</v>
      </c>
      <c r="T33">
        <v>1026960.4</v>
      </c>
      <c r="U33">
        <v>68</v>
      </c>
      <c r="V33">
        <v>91600</v>
      </c>
      <c r="W33">
        <v>38600</v>
      </c>
      <c r="X33">
        <v>215200</v>
      </c>
      <c r="Y33">
        <v>4174391.4</v>
      </c>
      <c r="Z33">
        <v>314897.91999999998</v>
      </c>
      <c r="AA33">
        <v>25787.87</v>
      </c>
      <c r="AB33">
        <v>201228.55</v>
      </c>
      <c r="AC33">
        <v>1026960.4</v>
      </c>
      <c r="AD33">
        <v>1.06</v>
      </c>
      <c r="AE33">
        <v>1.02</v>
      </c>
      <c r="AF33">
        <v>1.29</v>
      </c>
      <c r="AG33">
        <v>1.76</v>
      </c>
      <c r="AH33">
        <v>234546.8</v>
      </c>
      <c r="AI33">
        <v>106096.6</v>
      </c>
      <c r="AJ33">
        <v>544572.80000000005</v>
      </c>
      <c r="AK33">
        <v>11949684.449999999</v>
      </c>
      <c r="AL33">
        <v>406497.92</v>
      </c>
      <c r="AM33">
        <v>64387.869999999901</v>
      </c>
      <c r="AN33">
        <v>416428.55</v>
      </c>
      <c r="AO33">
        <v>5201351.8</v>
      </c>
      <c r="AP33">
        <v>364093.95</v>
      </c>
      <c r="AQ33">
        <v>18566.939999999999</v>
      </c>
      <c r="AR33">
        <v>-263910.40000000002</v>
      </c>
      <c r="AS33">
        <v>-14861924.85</v>
      </c>
      <c r="AT33">
        <v>30.844256000000001</v>
      </c>
      <c r="AU33">
        <v>29.949772576000001</v>
      </c>
      <c r="AV33">
        <v>30062084.223159999</v>
      </c>
      <c r="AW33">
        <v>363247943.60000002</v>
      </c>
      <c r="AX33">
        <v>12.083258795481299</v>
      </c>
      <c r="AY33">
        <v>996320.24439999997</v>
      </c>
      <c r="AZ33">
        <v>1.0104071181517</v>
      </c>
      <c r="BA33">
        <v>1119481.7073170701</v>
      </c>
      <c r="BB33">
        <v>1.13530994885583</v>
      </c>
      <c r="BC33">
        <v>24.181241835563998</v>
      </c>
    </row>
    <row r="34" spans="1:55" x14ac:dyDescent="0.2">
      <c r="A34" t="s">
        <v>119</v>
      </c>
      <c r="B34" t="s">
        <v>120</v>
      </c>
      <c r="C34">
        <v>430</v>
      </c>
      <c r="D34">
        <v>32</v>
      </c>
      <c r="E34">
        <v>285</v>
      </c>
      <c r="F34">
        <v>195</v>
      </c>
      <c r="G34">
        <v>0</v>
      </c>
      <c r="H34">
        <v>0</v>
      </c>
      <c r="I34">
        <v>942</v>
      </c>
      <c r="J34">
        <v>16654.62</v>
      </c>
      <c r="K34">
        <v>199449.48</v>
      </c>
      <c r="L34">
        <v>139614.64000000001</v>
      </c>
      <c r="M34">
        <v>33592.54</v>
      </c>
      <c r="N34">
        <v>83991</v>
      </c>
      <c r="O34">
        <v>210398.76</v>
      </c>
      <c r="P34">
        <v>38171397</v>
      </c>
      <c r="Q34">
        <v>77384.929999999993</v>
      </c>
      <c r="R34">
        <v>13573.6</v>
      </c>
      <c r="S34">
        <v>81534.87</v>
      </c>
      <c r="T34">
        <v>367249.63</v>
      </c>
      <c r="U34">
        <v>75</v>
      </c>
      <c r="V34">
        <v>30839.49</v>
      </c>
      <c r="W34">
        <v>7739.19</v>
      </c>
      <c r="X34">
        <v>20989.61</v>
      </c>
      <c r="Y34">
        <v>519463.57</v>
      </c>
      <c r="Z34">
        <v>77384.929999999993</v>
      </c>
      <c r="AA34">
        <v>13573.6</v>
      </c>
      <c r="AB34">
        <v>81534.87</v>
      </c>
      <c r="AC34">
        <v>367249.63</v>
      </c>
      <c r="AD34">
        <v>1</v>
      </c>
      <c r="AE34">
        <v>1.03</v>
      </c>
      <c r="AF34">
        <v>1.06</v>
      </c>
      <c r="AG34">
        <v>1.97</v>
      </c>
      <c r="AH34">
        <v>0</v>
      </c>
      <c r="AI34">
        <v>0</v>
      </c>
      <c r="AJ34">
        <v>0</v>
      </c>
      <c r="AK34">
        <v>0</v>
      </c>
      <c r="AL34">
        <v>108224.42</v>
      </c>
      <c r="AM34">
        <v>21312.79</v>
      </c>
      <c r="AN34">
        <v>102524.48</v>
      </c>
      <c r="AO34">
        <v>886713.2</v>
      </c>
      <c r="AP34">
        <v>108775.15</v>
      </c>
      <c r="AQ34">
        <v>25853.35</v>
      </c>
      <c r="AR34">
        <v>63001.39</v>
      </c>
      <c r="AS34">
        <v>-309064.80999999901</v>
      </c>
      <c r="AT34">
        <v>34.019399999999997</v>
      </c>
      <c r="AU34">
        <v>33.032837399999998</v>
      </c>
      <c r="AV34">
        <v>5570327.3707619999</v>
      </c>
      <c r="AW34">
        <v>144494387.91777</v>
      </c>
      <c r="AX34">
        <v>25.940017219850301</v>
      </c>
      <c r="AY34">
        <v>215177.69039999999</v>
      </c>
      <c r="AZ34">
        <v>1.07885811685244</v>
      </c>
      <c r="BA34">
        <v>232727.560975609</v>
      </c>
      <c r="BB34">
        <v>1.1668496752942601</v>
      </c>
      <c r="BC34">
        <v>26.120397062198698</v>
      </c>
    </row>
    <row r="35" spans="1:55" x14ac:dyDescent="0.2">
      <c r="A35" t="s">
        <v>121</v>
      </c>
      <c r="B35" t="s">
        <v>122</v>
      </c>
      <c r="C35">
        <v>0</v>
      </c>
      <c r="D35">
        <v>0</v>
      </c>
      <c r="E35">
        <v>750</v>
      </c>
      <c r="F35">
        <v>500</v>
      </c>
      <c r="G35">
        <v>0</v>
      </c>
      <c r="H35">
        <v>1000</v>
      </c>
      <c r="I35">
        <v>2250</v>
      </c>
      <c r="J35">
        <v>16250.35</v>
      </c>
      <c r="K35">
        <v>170190</v>
      </c>
      <c r="L35">
        <v>119133</v>
      </c>
      <c r="M35">
        <v>23753.4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31351.919999999998</v>
      </c>
      <c r="W35">
        <v>14532.24</v>
      </c>
      <c r="X35">
        <v>77081.36</v>
      </c>
      <c r="Y35">
        <v>1594310</v>
      </c>
      <c r="Z35">
        <v>0</v>
      </c>
      <c r="AA35">
        <v>0</v>
      </c>
      <c r="AB35">
        <v>0</v>
      </c>
      <c r="AC35">
        <v>0</v>
      </c>
      <c r="AD35">
        <v>0.62</v>
      </c>
      <c r="AE35">
        <v>1.38</v>
      </c>
      <c r="AF35">
        <v>1.49</v>
      </c>
      <c r="AG35">
        <v>6.03</v>
      </c>
      <c r="AH35">
        <v>195042</v>
      </c>
      <c r="AI35">
        <v>78974</v>
      </c>
      <c r="AJ35">
        <v>477166</v>
      </c>
      <c r="AK35">
        <v>5871739.5999999996</v>
      </c>
      <c r="AL35">
        <v>31351.919999999998</v>
      </c>
      <c r="AM35">
        <v>14532.24</v>
      </c>
      <c r="AN35">
        <v>77081.36</v>
      </c>
      <c r="AO35">
        <v>1594310</v>
      </c>
      <c r="AP35">
        <v>-107260.92</v>
      </c>
      <c r="AQ35">
        <v>-69752.84</v>
      </c>
      <c r="AR35">
        <v>-554246.36</v>
      </c>
      <c r="AS35">
        <v>-7466049.5999999996</v>
      </c>
      <c r="AT35">
        <v>0.453592</v>
      </c>
      <c r="AU35">
        <v>0.44043783199999997</v>
      </c>
      <c r="AV35">
        <v>0</v>
      </c>
      <c r="AW35">
        <v>0</v>
      </c>
      <c r="AY35">
        <v>209954.522</v>
      </c>
      <c r="AZ35">
        <v>1.2336478171455401</v>
      </c>
      <c r="BA35">
        <v>211432.92682926799</v>
      </c>
      <c r="BB35">
        <v>1.24233460737568</v>
      </c>
      <c r="BC35">
        <v>19.741165925925898</v>
      </c>
    </row>
    <row r="36" spans="1:55" x14ac:dyDescent="0.2">
      <c r="A36" t="s">
        <v>123</v>
      </c>
      <c r="B36" t="s">
        <v>124</v>
      </c>
      <c r="C36">
        <v>0</v>
      </c>
      <c r="D36">
        <v>0</v>
      </c>
      <c r="E36">
        <v>647</v>
      </c>
      <c r="F36">
        <v>648</v>
      </c>
      <c r="G36">
        <v>400</v>
      </c>
      <c r="H36">
        <v>0</v>
      </c>
      <c r="I36">
        <v>1695</v>
      </c>
      <c r="J36">
        <v>14005.04</v>
      </c>
      <c r="K36">
        <v>143728.20000000001</v>
      </c>
      <c r="L36">
        <v>100609.74</v>
      </c>
      <c r="M36">
        <v>22304.04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100609.74</v>
      </c>
      <c r="AQ36">
        <v>22304.04</v>
      </c>
      <c r="AR36">
        <v>1</v>
      </c>
      <c r="AS36">
        <v>0</v>
      </c>
      <c r="AT36">
        <v>0.453592</v>
      </c>
      <c r="AU36">
        <v>0.44043783199999997</v>
      </c>
      <c r="AV36">
        <v>0</v>
      </c>
      <c r="AW36">
        <v>0</v>
      </c>
      <c r="AY36">
        <v>180945.11679999999</v>
      </c>
      <c r="AZ36">
        <v>1.2589395595297199</v>
      </c>
      <c r="BA36">
        <v>190734.75609756101</v>
      </c>
      <c r="BB36">
        <v>1.3270517274797899</v>
      </c>
      <c r="BC36">
        <v>22.584331956735401</v>
      </c>
    </row>
    <row r="37" spans="1:55" x14ac:dyDescent="0.2">
      <c r="A37" t="s">
        <v>125</v>
      </c>
      <c r="B37" t="s">
        <v>126</v>
      </c>
      <c r="C37">
        <v>1020</v>
      </c>
      <c r="D37">
        <v>100</v>
      </c>
      <c r="E37">
        <v>0</v>
      </c>
      <c r="F37">
        <v>0</v>
      </c>
      <c r="G37">
        <v>0</v>
      </c>
      <c r="H37">
        <v>0</v>
      </c>
      <c r="I37">
        <v>1120</v>
      </c>
      <c r="J37">
        <v>27399.34</v>
      </c>
      <c r="K37">
        <v>358186.05</v>
      </c>
      <c r="L37">
        <v>250730.23999999999</v>
      </c>
      <c r="M37">
        <v>59910.5</v>
      </c>
      <c r="N37">
        <v>194530.64</v>
      </c>
      <c r="O37">
        <v>504640.8</v>
      </c>
      <c r="P37">
        <v>13623000</v>
      </c>
      <c r="Q37">
        <v>3337.1</v>
      </c>
      <c r="R37">
        <v>5784.66</v>
      </c>
      <c r="S37">
        <v>-1469.7</v>
      </c>
      <c r="T37">
        <v>79018.600000000006</v>
      </c>
      <c r="U37">
        <v>68</v>
      </c>
      <c r="V37">
        <v>104123.7</v>
      </c>
      <c r="W37">
        <v>46803.3</v>
      </c>
      <c r="X37">
        <v>249806.02</v>
      </c>
      <c r="Y37">
        <v>5466278.25</v>
      </c>
      <c r="Z37">
        <v>80713.08</v>
      </c>
      <c r="AA37">
        <v>13081.51</v>
      </c>
      <c r="AB37">
        <v>53568.84</v>
      </c>
      <c r="AC37">
        <v>424577.2</v>
      </c>
      <c r="AD37">
        <v>0.79</v>
      </c>
      <c r="AE37">
        <v>1.1100000000000001</v>
      </c>
      <c r="AF37">
        <v>0.93</v>
      </c>
      <c r="AG37">
        <v>4.63</v>
      </c>
      <c r="AH37">
        <v>22500</v>
      </c>
      <c r="AI37">
        <v>13500</v>
      </c>
      <c r="AJ37">
        <v>60900</v>
      </c>
      <c r="AK37">
        <v>1239759</v>
      </c>
      <c r="AL37">
        <v>184836.78</v>
      </c>
      <c r="AM37">
        <v>59884.81</v>
      </c>
      <c r="AN37">
        <v>303374.86</v>
      </c>
      <c r="AO37">
        <v>5890855.4500000002</v>
      </c>
      <c r="AP37">
        <v>46730.559999999998</v>
      </c>
      <c r="AQ37">
        <v>-7689.65</v>
      </c>
      <c r="AR37">
        <v>-171213.91999999899</v>
      </c>
      <c r="AS37">
        <v>-6546955.0499999998</v>
      </c>
      <c r="AT37">
        <v>30.844256000000001</v>
      </c>
      <c r="AU37">
        <v>29.949772576000001</v>
      </c>
      <c r="AV37">
        <v>12243467.0290688</v>
      </c>
      <c r="AW37">
        <v>51568640.43</v>
      </c>
      <c r="AX37">
        <v>4.2119311717476897</v>
      </c>
      <c r="AY37">
        <v>353999.47279999999</v>
      </c>
      <c r="AZ37">
        <v>0.988311724591172</v>
      </c>
      <c r="BA37">
        <v>408800</v>
      </c>
      <c r="BB37">
        <v>1.1413063127388601</v>
      </c>
      <c r="BC37">
        <v>24.463696428571399</v>
      </c>
    </row>
    <row r="38" spans="1:55" x14ac:dyDescent="0.2">
      <c r="A38" t="s">
        <v>127</v>
      </c>
      <c r="B38" t="s">
        <v>128</v>
      </c>
      <c r="C38">
        <v>2750</v>
      </c>
      <c r="D38">
        <v>405</v>
      </c>
      <c r="E38">
        <v>835</v>
      </c>
      <c r="F38">
        <v>1178</v>
      </c>
      <c r="G38">
        <v>487</v>
      </c>
      <c r="H38">
        <v>0</v>
      </c>
      <c r="I38">
        <v>5655</v>
      </c>
      <c r="J38">
        <v>100166.71</v>
      </c>
      <c r="K38">
        <v>1232373.3700000001</v>
      </c>
      <c r="L38">
        <v>862661.36</v>
      </c>
      <c r="M38">
        <v>203644.05</v>
      </c>
      <c r="N38">
        <v>535340.05000000005</v>
      </c>
      <c r="O38">
        <v>1391769.9</v>
      </c>
      <c r="P38">
        <v>47196000</v>
      </c>
      <c r="Q38">
        <v>203889.75</v>
      </c>
      <c r="R38">
        <v>13670.1</v>
      </c>
      <c r="S38">
        <v>246776.4</v>
      </c>
      <c r="T38">
        <v>1923893.69</v>
      </c>
      <c r="U38">
        <v>74</v>
      </c>
      <c r="V38">
        <v>231944.77</v>
      </c>
      <c r="W38">
        <v>91344.7</v>
      </c>
      <c r="X38">
        <v>175129.34</v>
      </c>
      <c r="Y38">
        <v>8220419.2400000002</v>
      </c>
      <c r="Z38">
        <v>203889.75</v>
      </c>
      <c r="AA38">
        <v>13670.1</v>
      </c>
      <c r="AB38">
        <v>246776.4</v>
      </c>
      <c r="AC38">
        <v>1923893.69</v>
      </c>
      <c r="AD38">
        <v>0.9</v>
      </c>
      <c r="AE38">
        <v>1.06</v>
      </c>
      <c r="AF38">
        <v>0.63</v>
      </c>
      <c r="AG38">
        <v>5.24</v>
      </c>
      <c r="AH38">
        <v>0</v>
      </c>
      <c r="AI38">
        <v>0</v>
      </c>
      <c r="AJ38">
        <v>0</v>
      </c>
      <c r="AK38">
        <v>0</v>
      </c>
      <c r="AL38">
        <v>435834.52</v>
      </c>
      <c r="AM38">
        <v>105014.8</v>
      </c>
      <c r="AN38">
        <v>421905.74</v>
      </c>
      <c r="AO38">
        <v>10144312.93</v>
      </c>
      <c r="AP38">
        <v>630716.58999999904</v>
      </c>
      <c r="AQ38">
        <v>112299.349999999</v>
      </c>
      <c r="AR38">
        <v>360210.71</v>
      </c>
      <c r="AS38">
        <v>-6828649.3399999999</v>
      </c>
      <c r="AT38">
        <v>33.565807999999997</v>
      </c>
      <c r="AU38">
        <v>32.592399567999998</v>
      </c>
      <c r="AV38">
        <v>37532592.532519601</v>
      </c>
      <c r="AW38">
        <v>178656210.36000001</v>
      </c>
      <c r="AX38">
        <v>4.7600285060299399</v>
      </c>
      <c r="AY38">
        <v>1294153.8932</v>
      </c>
      <c r="AZ38">
        <v>1.05013133576555</v>
      </c>
      <c r="BA38">
        <v>1442061.58536585</v>
      </c>
      <c r="BB38">
        <v>1.17014990786911</v>
      </c>
      <c r="BC38">
        <v>24.613197746546401</v>
      </c>
    </row>
    <row r="39" spans="1:55" x14ac:dyDescent="0.2">
      <c r="A39" t="s">
        <v>129</v>
      </c>
      <c r="B39" t="s">
        <v>130</v>
      </c>
      <c r="C39">
        <v>750</v>
      </c>
      <c r="D39">
        <v>75</v>
      </c>
      <c r="E39">
        <v>50</v>
      </c>
      <c r="F39">
        <v>50</v>
      </c>
      <c r="G39">
        <v>50</v>
      </c>
      <c r="H39">
        <v>0</v>
      </c>
      <c r="I39">
        <v>975</v>
      </c>
      <c r="J39">
        <v>21533.96</v>
      </c>
      <c r="K39">
        <v>278027.21000000002</v>
      </c>
      <c r="L39">
        <v>194619.05</v>
      </c>
      <c r="M39">
        <v>46303.31</v>
      </c>
      <c r="N39">
        <v>144025.43</v>
      </c>
      <c r="O39">
        <v>371398.5</v>
      </c>
      <c r="P39">
        <v>50550000</v>
      </c>
      <c r="Q39">
        <v>191546.78</v>
      </c>
      <c r="R39">
        <v>21339.83</v>
      </c>
      <c r="S39">
        <v>118583.19</v>
      </c>
      <c r="T39">
        <v>750707.94</v>
      </c>
      <c r="U39">
        <v>70</v>
      </c>
      <c r="V39">
        <v>0</v>
      </c>
      <c r="W39">
        <v>0</v>
      </c>
      <c r="X39">
        <v>0</v>
      </c>
      <c r="Y39">
        <v>0</v>
      </c>
      <c r="Z39">
        <v>191546.78</v>
      </c>
      <c r="AA39">
        <v>21339.83</v>
      </c>
      <c r="AB39">
        <v>118583.19</v>
      </c>
      <c r="AC39">
        <v>750707.94</v>
      </c>
      <c r="AD39">
        <v>1.19</v>
      </c>
      <c r="AE39">
        <v>0.77</v>
      </c>
      <c r="AF39">
        <v>0.61</v>
      </c>
      <c r="AG39">
        <v>0.85</v>
      </c>
      <c r="AH39">
        <v>61600</v>
      </c>
      <c r="AI39">
        <v>11880</v>
      </c>
      <c r="AJ39">
        <v>79200</v>
      </c>
      <c r="AK39">
        <v>911812</v>
      </c>
      <c r="AL39">
        <v>191546.78</v>
      </c>
      <c r="AM39">
        <v>21339.83</v>
      </c>
      <c r="AN39">
        <v>118583.19</v>
      </c>
      <c r="AO39">
        <v>750707.94</v>
      </c>
      <c r="AP39">
        <v>133019.049999999</v>
      </c>
      <c r="AQ39">
        <v>34423.31</v>
      </c>
      <c r="AR39">
        <v>64825.429999999898</v>
      </c>
      <c r="AS39">
        <v>-540413.5</v>
      </c>
      <c r="AT39">
        <v>31.751439999999999</v>
      </c>
      <c r="AU39">
        <v>30.830648239999999</v>
      </c>
      <c r="AV39">
        <v>9283878.9512699991</v>
      </c>
      <c r="AW39">
        <v>191352475.5</v>
      </c>
      <c r="AX39">
        <v>20.611263514354999</v>
      </c>
      <c r="AY39">
        <v>278218.76319999999</v>
      </c>
      <c r="AZ39">
        <v>1.00068897285269</v>
      </c>
      <c r="BA39">
        <v>316704.26829268201</v>
      </c>
      <c r="BB39">
        <v>1.13911249295593</v>
      </c>
      <c r="BC39">
        <v>24.473800693000602</v>
      </c>
    </row>
    <row r="40" spans="1:55" x14ac:dyDescent="0.2">
      <c r="A40" t="s">
        <v>131</v>
      </c>
      <c r="B40" t="s">
        <v>132</v>
      </c>
      <c r="C40">
        <v>680</v>
      </c>
      <c r="D40">
        <v>85</v>
      </c>
      <c r="E40">
        <v>300</v>
      </c>
      <c r="F40">
        <v>200</v>
      </c>
      <c r="G40">
        <v>90</v>
      </c>
      <c r="H40">
        <v>0</v>
      </c>
      <c r="I40">
        <v>1355</v>
      </c>
      <c r="J40">
        <v>26218.76</v>
      </c>
      <c r="K40">
        <v>323633.46000000002</v>
      </c>
      <c r="L40">
        <v>226543.42</v>
      </c>
      <c r="M40">
        <v>54148.06</v>
      </c>
      <c r="N40">
        <v>142230.64000000001</v>
      </c>
      <c r="O40">
        <v>340654.5</v>
      </c>
      <c r="P40">
        <v>8700000</v>
      </c>
      <c r="Q40">
        <v>17451.900000000001</v>
      </c>
      <c r="R40">
        <v>2764.36</v>
      </c>
      <c r="S40">
        <v>38383.660000000003</v>
      </c>
      <c r="T40">
        <v>213773.87</v>
      </c>
      <c r="U40">
        <v>96</v>
      </c>
      <c r="V40">
        <v>34933.54</v>
      </c>
      <c r="W40">
        <v>10622.23</v>
      </c>
      <c r="X40">
        <v>30725.23</v>
      </c>
      <c r="Y40">
        <v>125158.5</v>
      </c>
      <c r="Z40">
        <v>17451.900000000001</v>
      </c>
      <c r="AA40">
        <v>2764.36</v>
      </c>
      <c r="AB40">
        <v>38383.660000000003</v>
      </c>
      <c r="AC40">
        <v>213773.87</v>
      </c>
      <c r="AD40">
        <v>1.32</v>
      </c>
      <c r="AE40">
        <v>0.67</v>
      </c>
      <c r="AF40">
        <v>0.94</v>
      </c>
      <c r="AG40">
        <v>1.1399999999999999</v>
      </c>
      <c r="AH40">
        <v>136505.95000000001</v>
      </c>
      <c r="AI40">
        <v>65881.25</v>
      </c>
      <c r="AJ40">
        <v>152317.45000000001</v>
      </c>
      <c r="AK40">
        <v>0</v>
      </c>
      <c r="AL40">
        <v>52385.440000000002</v>
      </c>
      <c r="AM40">
        <v>13386.59</v>
      </c>
      <c r="AN40">
        <v>69108.89</v>
      </c>
      <c r="AO40">
        <v>338932.37</v>
      </c>
      <c r="AP40">
        <v>55103.929999999898</v>
      </c>
      <c r="AQ40">
        <v>-22355.42</v>
      </c>
      <c r="AR40">
        <v>-40812.039999999899</v>
      </c>
      <c r="AS40">
        <v>215496</v>
      </c>
      <c r="AT40">
        <v>43.544832</v>
      </c>
      <c r="AU40">
        <v>42.282031871999997</v>
      </c>
      <c r="AV40">
        <v>11806200.349459199</v>
      </c>
      <c r="AW40">
        <v>32933067</v>
      </c>
      <c r="AX40">
        <v>2.7894721438899301</v>
      </c>
      <c r="AY40">
        <v>338746.37919999898</v>
      </c>
      <c r="AZ40">
        <v>1.0466976412142299</v>
      </c>
      <c r="BA40">
        <v>349999.39024390199</v>
      </c>
      <c r="BB40">
        <v>1.08146849291758</v>
      </c>
      <c r="BC40">
        <v>26.730552281487</v>
      </c>
    </row>
    <row r="41" spans="1:55" x14ac:dyDescent="0.2">
      <c r="A41" t="s">
        <v>133</v>
      </c>
      <c r="B41" t="s">
        <v>134</v>
      </c>
      <c r="C41">
        <v>0</v>
      </c>
      <c r="D41">
        <v>0</v>
      </c>
      <c r="E41">
        <v>0</v>
      </c>
      <c r="F41">
        <v>100</v>
      </c>
      <c r="G41">
        <v>0</v>
      </c>
      <c r="H41">
        <v>0</v>
      </c>
      <c r="I41">
        <v>100</v>
      </c>
      <c r="J41">
        <v>1</v>
      </c>
      <c r="K41">
        <v>1</v>
      </c>
      <c r="L41">
        <v>0.7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0.7</v>
      </c>
      <c r="AQ41">
        <v>1</v>
      </c>
      <c r="AR41">
        <v>1</v>
      </c>
      <c r="AS41">
        <v>0</v>
      </c>
      <c r="AT41">
        <v>0.453592</v>
      </c>
      <c r="AU41">
        <v>0.44043783199999997</v>
      </c>
      <c r="AV41">
        <v>0</v>
      </c>
      <c r="AW41">
        <v>0</v>
      </c>
      <c r="AY41">
        <v>12.92</v>
      </c>
      <c r="AZ41">
        <v>12.92</v>
      </c>
      <c r="BA41">
        <v>13353.658536585301</v>
      </c>
      <c r="BB41">
        <v>13353.658536585301</v>
      </c>
      <c r="BC41">
        <v>2.73333333333333E-2</v>
      </c>
    </row>
    <row r="42" spans="1:55" x14ac:dyDescent="0.2">
      <c r="A42" t="s">
        <v>135</v>
      </c>
      <c r="B42" t="s">
        <v>136</v>
      </c>
      <c r="C42">
        <v>0</v>
      </c>
      <c r="D42">
        <v>200</v>
      </c>
      <c r="E42">
        <v>0</v>
      </c>
      <c r="F42">
        <v>0</v>
      </c>
      <c r="G42">
        <v>0</v>
      </c>
      <c r="H42">
        <v>0</v>
      </c>
      <c r="I42">
        <v>200</v>
      </c>
      <c r="J42">
        <v>2930.11</v>
      </c>
      <c r="K42">
        <v>36600</v>
      </c>
      <c r="L42">
        <v>25620</v>
      </c>
      <c r="M42">
        <v>4831.2</v>
      </c>
      <c r="N42">
        <v>1</v>
      </c>
      <c r="O42">
        <v>46116</v>
      </c>
      <c r="P42">
        <v>14760000</v>
      </c>
      <c r="Q42">
        <v>5316.23</v>
      </c>
      <c r="R42">
        <v>366.51</v>
      </c>
      <c r="S42">
        <v>2507.31</v>
      </c>
      <c r="T42">
        <v>76787.350000000006</v>
      </c>
      <c r="U42">
        <v>1</v>
      </c>
      <c r="V42">
        <v>61803.66</v>
      </c>
      <c r="W42">
        <v>53698.34</v>
      </c>
      <c r="X42">
        <v>78023.570000000007</v>
      </c>
      <c r="Y42">
        <v>0</v>
      </c>
      <c r="Z42">
        <v>5316.23</v>
      </c>
      <c r="AA42">
        <v>366.51</v>
      </c>
      <c r="AB42">
        <v>2507.31</v>
      </c>
      <c r="AC42">
        <v>76787.350000000006</v>
      </c>
      <c r="AD42">
        <v>0.85</v>
      </c>
      <c r="AE42">
        <v>3.31</v>
      </c>
      <c r="AF42">
        <v>0.54</v>
      </c>
      <c r="AG42">
        <v>0.71</v>
      </c>
      <c r="AH42">
        <v>0</v>
      </c>
      <c r="AI42">
        <v>0</v>
      </c>
      <c r="AJ42">
        <v>0</v>
      </c>
      <c r="AK42">
        <v>0</v>
      </c>
      <c r="AL42">
        <v>67119.89</v>
      </c>
      <c r="AM42">
        <v>54064.85</v>
      </c>
      <c r="AN42">
        <v>80530.880000000005</v>
      </c>
      <c r="AO42">
        <v>76787.350000000006</v>
      </c>
      <c r="AP42">
        <v>-36183.660000000003</v>
      </c>
      <c r="AQ42">
        <v>-48867.14</v>
      </c>
      <c r="AR42">
        <v>-78022.570000000007</v>
      </c>
      <c r="AS42">
        <v>46116</v>
      </c>
      <c r="AT42">
        <v>0.453592</v>
      </c>
      <c r="AU42">
        <v>0.44043783199999997</v>
      </c>
      <c r="AV42">
        <v>32151.961736000001</v>
      </c>
      <c r="AW42">
        <v>55872651.600000001</v>
      </c>
      <c r="AX42">
        <v>1737.7680422355099</v>
      </c>
      <c r="AY42">
        <v>37857.021200000003</v>
      </c>
      <c r="AZ42">
        <v>1.03434484153005</v>
      </c>
      <c r="BA42">
        <v>73000</v>
      </c>
      <c r="BB42">
        <v>1.9945355191256799</v>
      </c>
      <c r="BC42">
        <v>14.650550000000001</v>
      </c>
    </row>
    <row r="43" spans="1:55" x14ac:dyDescent="0.2">
      <c r="A43" t="s">
        <v>137</v>
      </c>
      <c r="B43" t="s">
        <v>138</v>
      </c>
      <c r="C43">
        <v>1025</v>
      </c>
      <c r="D43">
        <v>100</v>
      </c>
      <c r="E43">
        <v>500</v>
      </c>
      <c r="F43">
        <v>500</v>
      </c>
      <c r="G43">
        <v>500</v>
      </c>
      <c r="H43">
        <v>0</v>
      </c>
      <c r="I43">
        <v>2625</v>
      </c>
      <c r="J43">
        <v>39660.78</v>
      </c>
      <c r="K43">
        <v>483786.42</v>
      </c>
      <c r="L43">
        <v>338650.49</v>
      </c>
      <c r="M43">
        <v>78688.02</v>
      </c>
      <c r="N43">
        <v>196834.76</v>
      </c>
      <c r="O43">
        <v>507001.5</v>
      </c>
      <c r="P43">
        <v>27628000</v>
      </c>
      <c r="Q43">
        <v>95207.31</v>
      </c>
      <c r="R43">
        <v>9407.57</v>
      </c>
      <c r="S43">
        <v>46874.46</v>
      </c>
      <c r="T43">
        <v>320225.03000000003</v>
      </c>
      <c r="U43">
        <v>70</v>
      </c>
      <c r="V43">
        <v>64596</v>
      </c>
      <c r="W43">
        <v>30664</v>
      </c>
      <c r="X43">
        <v>160988</v>
      </c>
      <c r="Y43">
        <v>4492292</v>
      </c>
      <c r="Z43">
        <v>95207.31</v>
      </c>
      <c r="AA43">
        <v>9407.57</v>
      </c>
      <c r="AB43">
        <v>46874.46</v>
      </c>
      <c r="AC43">
        <v>320225.03000000003</v>
      </c>
      <c r="AD43">
        <v>0.94</v>
      </c>
      <c r="AE43">
        <v>1.44</v>
      </c>
      <c r="AF43">
        <v>1.17</v>
      </c>
      <c r="AG43">
        <v>5.38</v>
      </c>
      <c r="AH43">
        <v>0</v>
      </c>
      <c r="AI43">
        <v>0</v>
      </c>
      <c r="AJ43">
        <v>0</v>
      </c>
      <c r="AK43">
        <v>0</v>
      </c>
      <c r="AL43">
        <v>159803.31</v>
      </c>
      <c r="AM43">
        <v>40071.57</v>
      </c>
      <c r="AN43">
        <v>207862.46</v>
      </c>
      <c r="AO43">
        <v>4812517.03</v>
      </c>
      <c r="AP43">
        <v>274054.49</v>
      </c>
      <c r="AQ43">
        <v>48024.02</v>
      </c>
      <c r="AR43">
        <v>35846.76</v>
      </c>
      <c r="AS43">
        <v>-3985290.5</v>
      </c>
      <c r="AT43">
        <v>31.751439999999999</v>
      </c>
      <c r="AU43">
        <v>30.830648239999999</v>
      </c>
      <c r="AV43">
        <v>12659834.9335499</v>
      </c>
      <c r="AW43">
        <v>104583307.48</v>
      </c>
      <c r="AX43">
        <v>8.2610324722988597</v>
      </c>
      <c r="AY43">
        <v>512417.27759999997</v>
      </c>
      <c r="AZ43">
        <v>1.05918077981601</v>
      </c>
      <c r="BA43">
        <v>566417.68292682897</v>
      </c>
      <c r="BB43">
        <v>1.17080112113694</v>
      </c>
      <c r="BC43">
        <v>23.695329398907099</v>
      </c>
    </row>
    <row r="44" spans="1:55" x14ac:dyDescent="0.2">
      <c r="A44" t="s">
        <v>139</v>
      </c>
      <c r="B44" t="s">
        <v>140</v>
      </c>
      <c r="C44">
        <v>0</v>
      </c>
      <c r="D44">
        <v>0</v>
      </c>
      <c r="E44">
        <v>342</v>
      </c>
      <c r="F44">
        <v>0</v>
      </c>
      <c r="G44">
        <v>0</v>
      </c>
      <c r="H44">
        <v>0</v>
      </c>
      <c r="I44">
        <v>342</v>
      </c>
      <c r="J44">
        <v>3584.91</v>
      </c>
      <c r="K44">
        <v>32544.720000000001</v>
      </c>
      <c r="L44">
        <v>22781.3</v>
      </c>
      <c r="M44">
        <v>5507.57</v>
      </c>
      <c r="N44">
        <v>1</v>
      </c>
      <c r="O44">
        <v>0</v>
      </c>
      <c r="P44">
        <v>7020000</v>
      </c>
      <c r="Q44">
        <v>8377.2099999999991</v>
      </c>
      <c r="R44">
        <v>3960.14</v>
      </c>
      <c r="S44">
        <v>25600.29</v>
      </c>
      <c r="T44">
        <v>165200.95999999999</v>
      </c>
      <c r="U44">
        <v>1</v>
      </c>
      <c r="V44">
        <v>0</v>
      </c>
      <c r="W44">
        <v>0</v>
      </c>
      <c r="X44">
        <v>0</v>
      </c>
      <c r="Y44">
        <v>0</v>
      </c>
      <c r="Z44">
        <v>8377.2099999999991</v>
      </c>
      <c r="AA44">
        <v>3960.14</v>
      </c>
      <c r="AB44">
        <v>25600.29</v>
      </c>
      <c r="AC44">
        <v>165200.95999999999</v>
      </c>
      <c r="AD44">
        <v>0.14000000000000001</v>
      </c>
      <c r="AE44">
        <v>0.49</v>
      </c>
      <c r="AF44">
        <v>0.32</v>
      </c>
      <c r="AG44">
        <v>1.39</v>
      </c>
      <c r="AH44">
        <v>0</v>
      </c>
      <c r="AI44">
        <v>0</v>
      </c>
      <c r="AJ44">
        <v>0</v>
      </c>
      <c r="AK44">
        <v>0</v>
      </c>
      <c r="AL44">
        <v>8377.2099999999991</v>
      </c>
      <c r="AM44">
        <v>3960.14</v>
      </c>
      <c r="AN44">
        <v>25600.29</v>
      </c>
      <c r="AO44">
        <v>165200.95999999999</v>
      </c>
      <c r="AP44">
        <v>22781.3</v>
      </c>
      <c r="AQ44">
        <v>5507.57</v>
      </c>
      <c r="AR44">
        <v>1</v>
      </c>
      <c r="AS44">
        <v>0</v>
      </c>
      <c r="AT44">
        <v>0.453592</v>
      </c>
      <c r="AU44">
        <v>0.44043783199999997</v>
      </c>
      <c r="AV44">
        <v>0</v>
      </c>
      <c r="AW44">
        <v>26573578.199999999</v>
      </c>
      <c r="AY44">
        <v>46317.037199999999</v>
      </c>
      <c r="AZ44">
        <v>1.42318130867311</v>
      </c>
      <c r="BA44">
        <v>45669.512195121897</v>
      </c>
      <c r="BB44">
        <v>1.40328483991018</v>
      </c>
      <c r="BC44">
        <v>28.651327485380101</v>
      </c>
    </row>
    <row r="45" spans="1:55" x14ac:dyDescent="0.2">
      <c r="A45" t="s">
        <v>141</v>
      </c>
      <c r="B45" t="s">
        <v>142</v>
      </c>
      <c r="C45">
        <v>1725</v>
      </c>
      <c r="D45">
        <v>275</v>
      </c>
      <c r="E45">
        <v>750</v>
      </c>
      <c r="F45">
        <v>600</v>
      </c>
      <c r="G45">
        <v>250</v>
      </c>
      <c r="H45">
        <v>0</v>
      </c>
      <c r="I45">
        <v>3600</v>
      </c>
      <c r="J45">
        <v>66156.09</v>
      </c>
      <c r="K45">
        <v>816838.01</v>
      </c>
      <c r="L45">
        <v>571786.61</v>
      </c>
      <c r="M45">
        <v>135795.82</v>
      </c>
      <c r="N45">
        <v>350577.8</v>
      </c>
      <c r="O45">
        <v>877851</v>
      </c>
      <c r="P45">
        <v>40676250</v>
      </c>
      <c r="Q45">
        <v>113140.37</v>
      </c>
      <c r="R45">
        <v>32863.19</v>
      </c>
      <c r="S45">
        <v>146109.16</v>
      </c>
      <c r="T45">
        <v>911049.42</v>
      </c>
      <c r="U45">
        <v>87</v>
      </c>
      <c r="V45">
        <v>1785.6</v>
      </c>
      <c r="W45">
        <v>748.8</v>
      </c>
      <c r="X45">
        <v>2899.2</v>
      </c>
      <c r="Y45">
        <v>0</v>
      </c>
      <c r="Z45">
        <v>113140.37</v>
      </c>
      <c r="AA45">
        <v>32863.19</v>
      </c>
      <c r="AB45">
        <v>146109.16</v>
      </c>
      <c r="AC45">
        <v>911049.42</v>
      </c>
      <c r="AD45">
        <v>1.1100000000000001</v>
      </c>
      <c r="AE45">
        <v>1.25</v>
      </c>
      <c r="AF45">
        <v>1.01</v>
      </c>
      <c r="AG45">
        <v>1.1499999999999999</v>
      </c>
      <c r="AH45">
        <v>71244.399999999994</v>
      </c>
      <c r="AI45">
        <v>21471.200000000001</v>
      </c>
      <c r="AJ45">
        <v>103430.8</v>
      </c>
      <c r="AK45">
        <v>0</v>
      </c>
      <c r="AL45">
        <v>114925.97</v>
      </c>
      <c r="AM45">
        <v>33611.99</v>
      </c>
      <c r="AN45">
        <v>149008.35999999999</v>
      </c>
      <c r="AO45">
        <v>911049.42</v>
      </c>
      <c r="AP45">
        <v>498756.61</v>
      </c>
      <c r="AQ45">
        <v>113575.82</v>
      </c>
      <c r="AR45">
        <v>244247.8</v>
      </c>
      <c r="AS45">
        <v>877850.99999999895</v>
      </c>
      <c r="AT45">
        <v>39.462504000000003</v>
      </c>
      <c r="AU45">
        <v>38.318091383999999</v>
      </c>
      <c r="AV45">
        <v>27972206.71032</v>
      </c>
      <c r="AW45">
        <v>153976283.51249999</v>
      </c>
      <c r="AX45">
        <v>5.5046169616533103</v>
      </c>
      <c r="AY45">
        <v>854736.68279999995</v>
      </c>
      <c r="AZ45">
        <v>1.0463968036942799</v>
      </c>
      <c r="BA45">
        <v>921402.43902438995</v>
      </c>
      <c r="BB45">
        <v>1.12801121855775</v>
      </c>
      <c r="BC45">
        <v>25.588676320754701</v>
      </c>
    </row>
    <row r="46" spans="1:55" x14ac:dyDescent="0.2">
      <c r="A46" t="s">
        <v>143</v>
      </c>
      <c r="B46" t="s">
        <v>144</v>
      </c>
      <c r="C46">
        <v>1171</v>
      </c>
      <c r="D46">
        <v>150</v>
      </c>
      <c r="E46">
        <v>500</v>
      </c>
      <c r="F46">
        <v>373</v>
      </c>
      <c r="G46">
        <v>325</v>
      </c>
      <c r="H46">
        <v>250</v>
      </c>
      <c r="I46">
        <v>2769</v>
      </c>
      <c r="J46">
        <v>43369.62</v>
      </c>
      <c r="K46">
        <v>544604.4</v>
      </c>
      <c r="L46">
        <v>381223.08</v>
      </c>
      <c r="M46">
        <v>88422.43</v>
      </c>
      <c r="N46">
        <v>229500.44</v>
      </c>
      <c r="O46">
        <v>587462.93999999994</v>
      </c>
      <c r="P46">
        <v>2490000</v>
      </c>
      <c r="Q46">
        <v>11013.31</v>
      </c>
      <c r="R46">
        <v>0</v>
      </c>
      <c r="S46">
        <v>268.05</v>
      </c>
      <c r="T46">
        <v>64976.09</v>
      </c>
      <c r="U46">
        <v>76</v>
      </c>
      <c r="V46">
        <v>302126.18</v>
      </c>
      <c r="W46">
        <v>84297.98</v>
      </c>
      <c r="X46">
        <v>304496.75</v>
      </c>
      <c r="Y46">
        <v>7479557.6200000001</v>
      </c>
      <c r="Z46">
        <v>11013.31</v>
      </c>
      <c r="AA46">
        <v>0</v>
      </c>
      <c r="AB46">
        <v>268.05</v>
      </c>
      <c r="AC46">
        <v>64976.09</v>
      </c>
      <c r="AD46">
        <v>0.75</v>
      </c>
      <c r="AE46">
        <v>1.47</v>
      </c>
      <c r="AF46">
        <v>0.8</v>
      </c>
      <c r="AG46">
        <v>4.04</v>
      </c>
      <c r="AH46">
        <v>181446.72</v>
      </c>
      <c r="AI46">
        <v>50641.41</v>
      </c>
      <c r="AJ46">
        <v>183057.74</v>
      </c>
      <c r="AK46">
        <v>3983372.52</v>
      </c>
      <c r="AL46">
        <v>313139.49</v>
      </c>
      <c r="AM46">
        <v>84297.98</v>
      </c>
      <c r="AN46">
        <v>304764.79999999999</v>
      </c>
      <c r="AO46">
        <v>7544533.71</v>
      </c>
      <c r="AP46">
        <v>-102349.819999999</v>
      </c>
      <c r="AQ46">
        <v>-46516.959999999999</v>
      </c>
      <c r="AR46">
        <v>-258054.05</v>
      </c>
      <c r="AS46">
        <v>-10875467.199999999</v>
      </c>
      <c r="AT46">
        <v>34.472991999999998</v>
      </c>
      <c r="AU46">
        <v>33.473275231999999</v>
      </c>
      <c r="AV46">
        <v>16139641.752237201</v>
      </c>
      <c r="AW46">
        <v>9425670.9000000004</v>
      </c>
      <c r="AX46">
        <v>0.58400744233950597</v>
      </c>
      <c r="AY46">
        <v>560335.49040000001</v>
      </c>
      <c r="AZ46">
        <v>1.02888535311135</v>
      </c>
      <c r="BA46">
        <v>624336.95121951203</v>
      </c>
      <c r="BB46">
        <v>1.1464045300029</v>
      </c>
      <c r="BC46">
        <v>23.4334605500718</v>
      </c>
    </row>
    <row r="47" spans="1:55" x14ac:dyDescent="0.2">
      <c r="A47" t="s">
        <v>145</v>
      </c>
      <c r="B47" t="s">
        <v>146</v>
      </c>
      <c r="C47">
        <v>2270</v>
      </c>
      <c r="D47">
        <v>275</v>
      </c>
      <c r="E47">
        <v>1120</v>
      </c>
      <c r="F47">
        <v>735</v>
      </c>
      <c r="G47">
        <v>375</v>
      </c>
      <c r="H47">
        <v>0</v>
      </c>
      <c r="I47">
        <v>4775</v>
      </c>
      <c r="J47">
        <v>83097.960000000006</v>
      </c>
      <c r="K47">
        <v>1016445.95</v>
      </c>
      <c r="L47">
        <v>711512.17</v>
      </c>
      <c r="M47">
        <v>168397.84</v>
      </c>
      <c r="N47">
        <v>438907.93</v>
      </c>
      <c r="O47">
        <v>1135167.3</v>
      </c>
      <c r="P47">
        <v>53376000</v>
      </c>
      <c r="Q47">
        <v>275583.68</v>
      </c>
      <c r="R47">
        <v>11139.73</v>
      </c>
      <c r="S47">
        <v>360286.1</v>
      </c>
      <c r="T47">
        <v>2192537.2599999998</v>
      </c>
      <c r="U47">
        <v>72</v>
      </c>
      <c r="V47">
        <v>50366.51</v>
      </c>
      <c r="W47">
        <v>4246.1499999999996</v>
      </c>
      <c r="X47">
        <v>11880.17</v>
      </c>
      <c r="Y47">
        <v>0</v>
      </c>
      <c r="Z47">
        <v>275583.68</v>
      </c>
      <c r="AA47">
        <v>11139.73</v>
      </c>
      <c r="AB47">
        <v>360286.1</v>
      </c>
      <c r="AC47">
        <v>2192537.2599999998</v>
      </c>
      <c r="AD47">
        <v>0.81</v>
      </c>
      <c r="AE47">
        <v>0.08</v>
      </c>
      <c r="AF47">
        <v>0.42</v>
      </c>
      <c r="AG47">
        <v>2.83</v>
      </c>
      <c r="AH47">
        <v>225352.83</v>
      </c>
      <c r="AI47">
        <v>52534.77</v>
      </c>
      <c r="AJ47">
        <v>302702.64</v>
      </c>
      <c r="AK47">
        <v>3464150</v>
      </c>
      <c r="AL47">
        <v>325950.19</v>
      </c>
      <c r="AM47">
        <v>15385.88</v>
      </c>
      <c r="AN47">
        <v>372166.26999999897</v>
      </c>
      <c r="AO47">
        <v>2192537.2599999998</v>
      </c>
      <c r="AP47">
        <v>435792.83</v>
      </c>
      <c r="AQ47">
        <v>111616.92</v>
      </c>
      <c r="AR47">
        <v>124325.12</v>
      </c>
      <c r="AS47">
        <v>-2328982.7000000002</v>
      </c>
      <c r="AT47">
        <v>32.658624000000003</v>
      </c>
      <c r="AU47">
        <v>31.711523904</v>
      </c>
      <c r="AV47">
        <v>29457627.342523199</v>
      </c>
      <c r="AW47">
        <v>202050044.16</v>
      </c>
      <c r="AX47">
        <v>6.8590060499656396</v>
      </c>
      <c r="AY47">
        <v>1073625.6432</v>
      </c>
      <c r="AZ47">
        <v>1.0562545339474201</v>
      </c>
      <c r="BA47">
        <v>1193327.43902439</v>
      </c>
      <c r="BB47">
        <v>1.1740195718467701</v>
      </c>
      <c r="BC47">
        <v>24.725253891650599</v>
      </c>
    </row>
    <row r="48" spans="1:55" x14ac:dyDescent="0.2">
      <c r="A48" t="s">
        <v>147</v>
      </c>
      <c r="B48" t="s">
        <v>148</v>
      </c>
      <c r="C48">
        <v>220</v>
      </c>
      <c r="D48">
        <v>20</v>
      </c>
      <c r="E48">
        <v>32</v>
      </c>
      <c r="F48">
        <v>22</v>
      </c>
      <c r="G48">
        <v>20</v>
      </c>
      <c r="H48">
        <v>20</v>
      </c>
      <c r="I48">
        <v>334</v>
      </c>
      <c r="J48">
        <v>6586.71</v>
      </c>
      <c r="K48">
        <v>84157</v>
      </c>
      <c r="L48">
        <v>58909.9</v>
      </c>
      <c r="M48">
        <v>13898.53</v>
      </c>
      <c r="N48">
        <v>41957.59</v>
      </c>
      <c r="O48">
        <v>108482.4</v>
      </c>
      <c r="P48">
        <v>4224000</v>
      </c>
      <c r="Q48">
        <v>11429.98</v>
      </c>
      <c r="R48">
        <v>2590.2600000000002</v>
      </c>
      <c r="S48">
        <v>20436.169999999998</v>
      </c>
      <c r="T48">
        <v>115132.96</v>
      </c>
      <c r="U48">
        <v>68</v>
      </c>
      <c r="V48">
        <v>0</v>
      </c>
      <c r="W48">
        <v>0</v>
      </c>
      <c r="X48">
        <v>0</v>
      </c>
      <c r="Y48">
        <v>0</v>
      </c>
      <c r="Z48">
        <v>11429.98</v>
      </c>
      <c r="AA48">
        <v>2590.2600000000002</v>
      </c>
      <c r="AB48">
        <v>20436.169999999998</v>
      </c>
      <c r="AC48">
        <v>115132.96</v>
      </c>
      <c r="AD48">
        <v>1.41</v>
      </c>
      <c r="AE48">
        <v>2.35</v>
      </c>
      <c r="AF48">
        <v>2.2000000000000002</v>
      </c>
      <c r="AG48">
        <v>3.03</v>
      </c>
      <c r="AH48">
        <v>42972.480000000003</v>
      </c>
      <c r="AI48">
        <v>14229.18</v>
      </c>
      <c r="AJ48">
        <v>73191.75</v>
      </c>
      <c r="AK48">
        <v>224566.02</v>
      </c>
      <c r="AL48">
        <v>11429.98</v>
      </c>
      <c r="AM48">
        <v>2590.2600000000002</v>
      </c>
      <c r="AN48">
        <v>20436.169999999998</v>
      </c>
      <c r="AO48">
        <v>115132.96</v>
      </c>
      <c r="AP48">
        <v>15937.42</v>
      </c>
      <c r="AQ48">
        <v>-330.64999999999901</v>
      </c>
      <c r="AR48">
        <v>-31234.16</v>
      </c>
      <c r="AS48">
        <v>-116083.62</v>
      </c>
      <c r="AT48">
        <v>30.844256000000001</v>
      </c>
      <c r="AU48">
        <v>29.949772576000001</v>
      </c>
      <c r="AV48">
        <v>2623600.0776575999</v>
      </c>
      <c r="AW48">
        <v>15989571.84</v>
      </c>
      <c r="AX48">
        <v>6.0945156909264098</v>
      </c>
      <c r="AY48">
        <v>85100.2932</v>
      </c>
      <c r="AZ48">
        <v>1.0112087312998299</v>
      </c>
      <c r="BA48">
        <v>96591.463414634098</v>
      </c>
      <c r="BB48">
        <v>1.1477531686566</v>
      </c>
      <c r="BC48">
        <v>24.004898666666602</v>
      </c>
    </row>
    <row r="49" spans="1:55" x14ac:dyDescent="0.2">
      <c r="A49" t="s">
        <v>149</v>
      </c>
      <c r="B49" t="s">
        <v>150</v>
      </c>
      <c r="C49">
        <v>1341</v>
      </c>
      <c r="D49">
        <v>151</v>
      </c>
      <c r="E49">
        <v>562</v>
      </c>
      <c r="F49">
        <v>654</v>
      </c>
      <c r="G49">
        <v>331</v>
      </c>
      <c r="H49">
        <v>0</v>
      </c>
      <c r="I49">
        <v>3039</v>
      </c>
      <c r="J49">
        <v>50458.51</v>
      </c>
      <c r="K49">
        <v>621601.63</v>
      </c>
      <c r="L49">
        <v>435121.14</v>
      </c>
      <c r="M49">
        <v>102674.01</v>
      </c>
      <c r="N49">
        <v>261934.73</v>
      </c>
      <c r="O49">
        <v>667957.31999999995</v>
      </c>
      <c r="P49">
        <v>26958000</v>
      </c>
      <c r="Q49">
        <v>72574.820000000007</v>
      </c>
      <c r="R49">
        <v>5476.82</v>
      </c>
      <c r="S49">
        <v>103953.66</v>
      </c>
      <c r="T49">
        <v>572062.99</v>
      </c>
      <c r="U49">
        <v>75</v>
      </c>
      <c r="V49">
        <v>266798.71999999997</v>
      </c>
      <c r="W49">
        <v>75178.34</v>
      </c>
      <c r="X49">
        <v>326012.73</v>
      </c>
      <c r="Y49">
        <v>239555.14</v>
      </c>
      <c r="Z49">
        <v>72574.820000000007</v>
      </c>
      <c r="AA49">
        <v>5476.82</v>
      </c>
      <c r="AB49">
        <v>103953.66</v>
      </c>
      <c r="AC49">
        <v>572062.99</v>
      </c>
      <c r="AD49">
        <v>0.69</v>
      </c>
      <c r="AE49">
        <v>1.04</v>
      </c>
      <c r="AF49">
        <v>0.73</v>
      </c>
      <c r="AG49">
        <v>1.6</v>
      </c>
      <c r="AH49">
        <v>0</v>
      </c>
      <c r="AI49">
        <v>0</v>
      </c>
      <c r="AJ49">
        <v>0</v>
      </c>
      <c r="AK49">
        <v>0</v>
      </c>
      <c r="AL49">
        <v>339373.54</v>
      </c>
      <c r="AM49">
        <v>80655.16</v>
      </c>
      <c r="AN49">
        <v>429966.39</v>
      </c>
      <c r="AO49">
        <v>811618.13</v>
      </c>
      <c r="AP49">
        <v>168322.42</v>
      </c>
      <c r="AQ49">
        <v>27495.6699999999</v>
      </c>
      <c r="AR49">
        <v>-64078</v>
      </c>
      <c r="AS49">
        <v>428402.18</v>
      </c>
      <c r="AT49">
        <v>34.019399999999997</v>
      </c>
      <c r="AU49">
        <v>33.032837399999998</v>
      </c>
      <c r="AV49">
        <v>17989022.591291901</v>
      </c>
      <c r="AW49">
        <v>102047082.78</v>
      </c>
      <c r="AX49">
        <v>5.67274193259383</v>
      </c>
      <c r="AY49">
        <v>651923.94920000003</v>
      </c>
      <c r="AZ49">
        <v>1.04878095187749</v>
      </c>
      <c r="BA49">
        <v>721694.02439024299</v>
      </c>
      <c r="BB49">
        <v>1.1610233782531101</v>
      </c>
      <c r="BC49">
        <v>24.518517012930001</v>
      </c>
    </row>
    <row r="50" spans="1:55" x14ac:dyDescent="0.2">
      <c r="A50" t="s">
        <v>151</v>
      </c>
      <c r="B50" t="s">
        <v>152</v>
      </c>
      <c r="C50">
        <v>1100</v>
      </c>
      <c r="D50">
        <v>200</v>
      </c>
      <c r="E50">
        <v>500</v>
      </c>
      <c r="F50">
        <v>400</v>
      </c>
      <c r="G50">
        <v>300</v>
      </c>
      <c r="H50">
        <v>0</v>
      </c>
      <c r="I50">
        <v>2500</v>
      </c>
      <c r="J50">
        <v>42228.53</v>
      </c>
      <c r="K50">
        <v>519392.56</v>
      </c>
      <c r="L50">
        <v>363574.79</v>
      </c>
      <c r="M50">
        <v>85217.02</v>
      </c>
      <c r="N50">
        <v>216310.06</v>
      </c>
      <c r="O50">
        <v>565470</v>
      </c>
      <c r="P50">
        <v>30855000</v>
      </c>
      <c r="Q50">
        <v>102473.37</v>
      </c>
      <c r="R50">
        <v>111333.26</v>
      </c>
      <c r="S50">
        <v>49977.15</v>
      </c>
      <c r="T50">
        <v>349911.52</v>
      </c>
      <c r="U50">
        <v>77</v>
      </c>
      <c r="V50">
        <v>76073.259999999995</v>
      </c>
      <c r="W50">
        <v>36354.67</v>
      </c>
      <c r="X50">
        <v>189360</v>
      </c>
      <c r="Y50">
        <v>3984570.6</v>
      </c>
      <c r="Z50">
        <v>102473.37</v>
      </c>
      <c r="AA50">
        <v>111333.26</v>
      </c>
      <c r="AB50">
        <v>49977.15</v>
      </c>
      <c r="AC50">
        <v>349911.52</v>
      </c>
      <c r="AD50">
        <v>0.92</v>
      </c>
      <c r="AE50">
        <v>3.7</v>
      </c>
      <c r="AF50">
        <v>1.2</v>
      </c>
      <c r="AG50">
        <v>4.8499999999999996</v>
      </c>
      <c r="AH50">
        <v>0</v>
      </c>
      <c r="AI50">
        <v>0</v>
      </c>
      <c r="AJ50">
        <v>0</v>
      </c>
      <c r="AK50">
        <v>0</v>
      </c>
      <c r="AL50">
        <v>178546.63</v>
      </c>
      <c r="AM50">
        <v>147687.93</v>
      </c>
      <c r="AN50">
        <v>239337.15</v>
      </c>
      <c r="AO50">
        <v>4334482.12</v>
      </c>
      <c r="AP50">
        <v>287501.52999999898</v>
      </c>
      <c r="AQ50">
        <v>48862.35</v>
      </c>
      <c r="AR50">
        <v>26950.06</v>
      </c>
      <c r="AS50">
        <v>-3419100.6</v>
      </c>
      <c r="AT50">
        <v>34.926583999999998</v>
      </c>
      <c r="AU50">
        <v>33.913713064</v>
      </c>
      <c r="AV50">
        <v>16092056.848867999</v>
      </c>
      <c r="AW50">
        <v>116798825.55</v>
      </c>
      <c r="AX50">
        <v>7.2581663516939496</v>
      </c>
      <c r="AY50">
        <v>545592.60759999999</v>
      </c>
      <c r="AZ50">
        <v>1.0504436328468001</v>
      </c>
      <c r="BA50">
        <v>608036.58536585304</v>
      </c>
      <c r="BB50">
        <v>1.17066864678587</v>
      </c>
      <c r="BC50">
        <v>24.282885413744701</v>
      </c>
    </row>
    <row r="51" spans="1:55" x14ac:dyDescent="0.2">
      <c r="A51" t="s">
        <v>153</v>
      </c>
      <c r="B51" t="s">
        <v>154</v>
      </c>
      <c r="C51">
        <v>3000</v>
      </c>
      <c r="D51">
        <v>500</v>
      </c>
      <c r="E51">
        <v>1300</v>
      </c>
      <c r="F51">
        <v>1040</v>
      </c>
      <c r="G51">
        <v>330</v>
      </c>
      <c r="H51">
        <v>150</v>
      </c>
      <c r="I51">
        <v>6320</v>
      </c>
      <c r="J51">
        <v>107372.69</v>
      </c>
      <c r="K51">
        <v>1319970.5</v>
      </c>
      <c r="L51">
        <v>923979.35</v>
      </c>
      <c r="M51">
        <v>217208.24</v>
      </c>
      <c r="N51">
        <v>564243.32999999996</v>
      </c>
      <c r="O51">
        <v>1531710</v>
      </c>
      <c r="P51">
        <v>22203919</v>
      </c>
      <c r="Q51">
        <v>152250.60999999999</v>
      </c>
      <c r="R51">
        <v>17913.11</v>
      </c>
      <c r="S51">
        <v>185824.51</v>
      </c>
      <c r="T51">
        <v>1215688.83</v>
      </c>
      <c r="U51">
        <v>64</v>
      </c>
      <c r="V51">
        <v>6729.61</v>
      </c>
      <c r="W51">
        <v>1766.52</v>
      </c>
      <c r="X51">
        <v>2691.84</v>
      </c>
      <c r="Y51">
        <v>0</v>
      </c>
      <c r="Z51">
        <v>152250.60999999999</v>
      </c>
      <c r="AA51">
        <v>17913.11</v>
      </c>
      <c r="AB51">
        <v>185824.51</v>
      </c>
      <c r="AC51">
        <v>1215688.83</v>
      </c>
      <c r="AD51">
        <v>1</v>
      </c>
      <c r="AE51">
        <v>0.36</v>
      </c>
      <c r="AF51">
        <v>0.75</v>
      </c>
      <c r="AG51">
        <v>6.38</v>
      </c>
      <c r="AH51">
        <v>0</v>
      </c>
      <c r="AI51">
        <v>0</v>
      </c>
      <c r="AJ51">
        <v>0</v>
      </c>
      <c r="AK51">
        <v>0</v>
      </c>
      <c r="AL51">
        <v>158980.21999999901</v>
      </c>
      <c r="AM51">
        <v>19679.63</v>
      </c>
      <c r="AN51">
        <v>188516.35</v>
      </c>
      <c r="AO51">
        <v>1215688.83</v>
      </c>
      <c r="AP51">
        <v>917249.74</v>
      </c>
      <c r="AQ51">
        <v>215441.71999999901</v>
      </c>
      <c r="AR51">
        <v>561551.49</v>
      </c>
      <c r="AS51">
        <v>1531710</v>
      </c>
      <c r="AT51">
        <v>29.029888</v>
      </c>
      <c r="AU51">
        <v>28.188021247999998</v>
      </c>
      <c r="AV51">
        <v>36010197.144319899</v>
      </c>
      <c r="AW51">
        <v>84050937.021789998</v>
      </c>
      <c r="AX51">
        <v>2.3340871110739698</v>
      </c>
      <c r="AY51">
        <v>1387255.1547999999</v>
      </c>
      <c r="AZ51">
        <v>1.0509743625331001</v>
      </c>
      <c r="BA51">
        <v>1611341.4634146299</v>
      </c>
      <c r="BB51">
        <v>1.22074051156039</v>
      </c>
      <c r="BC51">
        <v>23.693650645855701</v>
      </c>
    </row>
    <row r="52" spans="1:55" x14ac:dyDescent="0.2">
      <c r="A52" t="s">
        <v>155</v>
      </c>
      <c r="B52" t="s">
        <v>156</v>
      </c>
      <c r="C52">
        <v>1090</v>
      </c>
      <c r="D52">
        <v>230</v>
      </c>
      <c r="E52">
        <v>630</v>
      </c>
      <c r="F52">
        <v>540</v>
      </c>
      <c r="G52">
        <v>180</v>
      </c>
      <c r="H52">
        <v>50</v>
      </c>
      <c r="I52">
        <v>2720</v>
      </c>
      <c r="J52">
        <v>44755.37</v>
      </c>
      <c r="K52">
        <v>546872.55000000005</v>
      </c>
      <c r="L52">
        <v>382810.79</v>
      </c>
      <c r="M52">
        <v>90063.76</v>
      </c>
      <c r="N52">
        <v>215779.79</v>
      </c>
      <c r="O52">
        <v>567666</v>
      </c>
      <c r="P52">
        <v>73575000</v>
      </c>
      <c r="Q52">
        <v>69612.42</v>
      </c>
      <c r="R52">
        <v>20189.759999999998</v>
      </c>
      <c r="S52">
        <v>97982.73</v>
      </c>
      <c r="T52">
        <v>879719.89</v>
      </c>
      <c r="U52">
        <v>79</v>
      </c>
      <c r="V52">
        <v>78679.61</v>
      </c>
      <c r="W52">
        <v>31996.58</v>
      </c>
      <c r="X52">
        <v>114659.8</v>
      </c>
      <c r="Y52">
        <v>0</v>
      </c>
      <c r="Z52">
        <v>69612.42</v>
      </c>
      <c r="AA52">
        <v>20189.759999999998</v>
      </c>
      <c r="AB52">
        <v>97982.73</v>
      </c>
      <c r="AC52">
        <v>879719.89</v>
      </c>
      <c r="AD52">
        <v>1.26</v>
      </c>
      <c r="AE52">
        <v>1.71</v>
      </c>
      <c r="AF52">
        <v>1.31</v>
      </c>
      <c r="AG52">
        <v>4.74</v>
      </c>
      <c r="AH52">
        <v>101663.3</v>
      </c>
      <c r="AI52">
        <v>28586.52</v>
      </c>
      <c r="AJ52">
        <v>98006.27</v>
      </c>
      <c r="AK52">
        <v>0</v>
      </c>
      <c r="AL52">
        <v>148292.03</v>
      </c>
      <c r="AM52">
        <v>52186.34</v>
      </c>
      <c r="AN52">
        <v>212642.53</v>
      </c>
      <c r="AO52">
        <v>879719.89</v>
      </c>
      <c r="AP52">
        <v>202467.87999999899</v>
      </c>
      <c r="AQ52">
        <v>29480.659999999902</v>
      </c>
      <c r="AR52">
        <v>3113.7200000000098</v>
      </c>
      <c r="AS52">
        <v>567666</v>
      </c>
      <c r="AT52">
        <v>35.833767999999999</v>
      </c>
      <c r="AU52">
        <v>34.794588728000001</v>
      </c>
      <c r="AV52">
        <v>16764032.8491503</v>
      </c>
      <c r="AW52">
        <v>278511540.75</v>
      </c>
      <c r="AX52">
        <v>16.613636065746199</v>
      </c>
      <c r="AY52">
        <v>578239.38040000002</v>
      </c>
      <c r="AZ52">
        <v>1.05735674683251</v>
      </c>
      <c r="BA52">
        <v>648275.60975609696</v>
      </c>
      <c r="BB52">
        <v>1.1854235685373</v>
      </c>
      <c r="BC52">
        <v>24.427185436634701</v>
      </c>
    </row>
    <row r="53" spans="1:55" x14ac:dyDescent="0.2">
      <c r="A53" t="s">
        <v>157</v>
      </c>
      <c r="B53" t="s">
        <v>158</v>
      </c>
      <c r="C53">
        <v>7200</v>
      </c>
      <c r="D53">
        <v>400</v>
      </c>
      <c r="E53">
        <v>200</v>
      </c>
      <c r="F53">
        <v>0</v>
      </c>
      <c r="G53">
        <v>0</v>
      </c>
      <c r="H53">
        <v>0</v>
      </c>
      <c r="I53">
        <v>7800</v>
      </c>
      <c r="J53">
        <v>205860.24</v>
      </c>
      <c r="K53">
        <v>2679760.15</v>
      </c>
      <c r="L53">
        <v>1875832.11</v>
      </c>
      <c r="M53">
        <v>453358.75</v>
      </c>
      <c r="N53">
        <v>1453794.55</v>
      </c>
      <c r="O53">
        <v>3491640</v>
      </c>
      <c r="P53">
        <v>163476512</v>
      </c>
      <c r="Q53">
        <v>955583.73</v>
      </c>
      <c r="R53">
        <v>69038.289999999994</v>
      </c>
      <c r="S53">
        <v>658650.78</v>
      </c>
      <c r="T53">
        <v>5306104.1100000003</v>
      </c>
      <c r="U53">
        <v>85</v>
      </c>
      <c r="V53">
        <v>103750.75</v>
      </c>
      <c r="W53">
        <v>12653.52</v>
      </c>
      <c r="X53">
        <v>20920.11</v>
      </c>
      <c r="Y53">
        <v>1465743.1</v>
      </c>
      <c r="Z53">
        <v>955583.73</v>
      </c>
      <c r="AA53">
        <v>69038.289999999994</v>
      </c>
      <c r="AB53">
        <v>658650.78</v>
      </c>
      <c r="AC53">
        <v>5306104.1100000003</v>
      </c>
      <c r="AD53">
        <v>1.29</v>
      </c>
      <c r="AE53">
        <v>0.59</v>
      </c>
      <c r="AF53">
        <v>0.67</v>
      </c>
      <c r="AG53">
        <v>3.71</v>
      </c>
      <c r="AH53">
        <v>98880.57</v>
      </c>
      <c r="AI53">
        <v>18257.72</v>
      </c>
      <c r="AJ53">
        <v>24553.49</v>
      </c>
      <c r="AK53">
        <v>433296.86</v>
      </c>
      <c r="AL53">
        <v>1059334.48</v>
      </c>
      <c r="AM53">
        <v>81691.81</v>
      </c>
      <c r="AN53">
        <v>679570.89</v>
      </c>
      <c r="AO53">
        <v>6771847.21</v>
      </c>
      <c r="AP53">
        <v>1673200.78999999</v>
      </c>
      <c r="AQ53">
        <v>422447.51</v>
      </c>
      <c r="AR53">
        <v>1408320.95</v>
      </c>
      <c r="AS53">
        <v>1592600.03999999</v>
      </c>
      <c r="AT53">
        <v>38.555320000000002</v>
      </c>
      <c r="AU53">
        <v>37.437215719999998</v>
      </c>
      <c r="AV53">
        <v>103850836.407279</v>
      </c>
      <c r="AW53">
        <v>618825623.28991997</v>
      </c>
      <c r="AX53">
        <v>5.9587928677148296</v>
      </c>
      <c r="AY53">
        <v>2659714.3007999999</v>
      </c>
      <c r="AZ53">
        <v>0.99251953604877596</v>
      </c>
      <c r="BA53">
        <v>2800707.3170731701</v>
      </c>
      <c r="BB53">
        <v>1.0451335792395999</v>
      </c>
      <c r="BC53">
        <v>26.828575460902702</v>
      </c>
    </row>
    <row r="54" spans="1:55" x14ac:dyDescent="0.2">
      <c r="A54" t="s">
        <v>159</v>
      </c>
      <c r="B54" t="s">
        <v>160</v>
      </c>
      <c r="C54">
        <v>1982</v>
      </c>
      <c r="D54">
        <v>153</v>
      </c>
      <c r="E54">
        <v>808</v>
      </c>
      <c r="F54">
        <v>504</v>
      </c>
      <c r="G54">
        <v>0</v>
      </c>
      <c r="H54">
        <v>0</v>
      </c>
      <c r="I54">
        <v>3447</v>
      </c>
      <c r="J54">
        <v>68906.399999999994</v>
      </c>
      <c r="K54">
        <v>849889.76</v>
      </c>
      <c r="L54">
        <v>594922.82999999996</v>
      </c>
      <c r="M54">
        <v>143273.73000000001</v>
      </c>
      <c r="N54">
        <v>393668.62</v>
      </c>
      <c r="O54">
        <v>971060.22</v>
      </c>
      <c r="P54">
        <v>50256000</v>
      </c>
      <c r="Q54">
        <v>154451.32999999999</v>
      </c>
      <c r="R54">
        <v>16701.55</v>
      </c>
      <c r="S54">
        <v>183348.73</v>
      </c>
      <c r="T54">
        <v>1149731.3700000001</v>
      </c>
      <c r="U54">
        <v>80</v>
      </c>
      <c r="V54">
        <v>146774.29999999999</v>
      </c>
      <c r="W54">
        <v>40138.519999999997</v>
      </c>
      <c r="X54">
        <v>158166.39999999999</v>
      </c>
      <c r="Y54">
        <v>0</v>
      </c>
      <c r="Z54">
        <v>154451.32999999999</v>
      </c>
      <c r="AA54">
        <v>16701.55</v>
      </c>
      <c r="AB54">
        <v>183348.73</v>
      </c>
      <c r="AC54">
        <v>1149731.3700000001</v>
      </c>
      <c r="AD54">
        <v>1.07</v>
      </c>
      <c r="AE54">
        <v>1.45</v>
      </c>
      <c r="AF54">
        <v>1.03</v>
      </c>
      <c r="AG54">
        <v>1.4</v>
      </c>
      <c r="AH54">
        <v>234340.26</v>
      </c>
      <c r="AI54">
        <v>79615.31</v>
      </c>
      <c r="AJ54">
        <v>347013.98</v>
      </c>
      <c r="AK54">
        <v>0</v>
      </c>
      <c r="AL54">
        <v>301225.63</v>
      </c>
      <c r="AM54">
        <v>56840.069999999898</v>
      </c>
      <c r="AN54">
        <v>341515.13</v>
      </c>
      <c r="AO54">
        <v>1149731.3700000001</v>
      </c>
      <c r="AP54">
        <v>213808.269999999</v>
      </c>
      <c r="AQ54">
        <v>23519.9</v>
      </c>
      <c r="AR54">
        <v>-111511.76</v>
      </c>
      <c r="AS54">
        <v>971060.21999999904</v>
      </c>
      <c r="AT54">
        <v>36.28736</v>
      </c>
      <c r="AU54">
        <v>35.235026560000001</v>
      </c>
      <c r="AV54">
        <v>27457775.322544001</v>
      </c>
      <c r="AW54">
        <v>190239564.96000001</v>
      </c>
      <c r="AX54">
        <v>6.9284405865104901</v>
      </c>
      <c r="AY54">
        <v>890270.68799999997</v>
      </c>
      <c r="AZ54">
        <v>1.0475131362919301</v>
      </c>
      <c r="BA54">
        <v>954475</v>
      </c>
      <c r="BB54">
        <v>1.12305741864686</v>
      </c>
      <c r="BC54">
        <v>26.350439770554399</v>
      </c>
    </row>
    <row r="55" spans="1:55" x14ac:dyDescent="0.2">
      <c r="A55" t="s">
        <v>161</v>
      </c>
      <c r="B55" t="s">
        <v>162</v>
      </c>
      <c r="C55">
        <v>1161</v>
      </c>
      <c r="D55">
        <v>198</v>
      </c>
      <c r="E55">
        <v>537</v>
      </c>
      <c r="F55">
        <v>293</v>
      </c>
      <c r="G55">
        <v>0</v>
      </c>
      <c r="H55">
        <v>33</v>
      </c>
      <c r="I55">
        <v>2222</v>
      </c>
      <c r="J55">
        <v>41459.85</v>
      </c>
      <c r="K55">
        <v>507350.8</v>
      </c>
      <c r="L55">
        <v>355145.56</v>
      </c>
      <c r="M55">
        <v>84368.45</v>
      </c>
      <c r="N55">
        <v>222951.37</v>
      </c>
      <c r="O55">
        <v>593809.38</v>
      </c>
      <c r="P55">
        <v>27926000</v>
      </c>
      <c r="Q55">
        <v>77322.720000000001</v>
      </c>
      <c r="R55">
        <v>14968.65</v>
      </c>
      <c r="S55">
        <v>101465.61</v>
      </c>
      <c r="T55">
        <v>602018.06999999995</v>
      </c>
      <c r="U55">
        <v>70</v>
      </c>
      <c r="V55">
        <v>62298.28</v>
      </c>
      <c r="W55">
        <v>21883.37</v>
      </c>
      <c r="X55">
        <v>101211.33</v>
      </c>
      <c r="Y55">
        <v>932186.88</v>
      </c>
      <c r="Z55">
        <v>77322.720000000001</v>
      </c>
      <c r="AA55">
        <v>14968.65</v>
      </c>
      <c r="AB55">
        <v>101465.61</v>
      </c>
      <c r="AC55">
        <v>602018.06999999995</v>
      </c>
      <c r="AD55">
        <v>0.96</v>
      </c>
      <c r="AE55">
        <v>1.23</v>
      </c>
      <c r="AF55">
        <v>0.91</v>
      </c>
      <c r="AG55">
        <v>3.36</v>
      </c>
      <c r="AH55">
        <v>0</v>
      </c>
      <c r="AI55">
        <v>0</v>
      </c>
      <c r="AJ55">
        <v>0</v>
      </c>
      <c r="AK55">
        <v>0</v>
      </c>
      <c r="AL55">
        <v>139621</v>
      </c>
      <c r="AM55">
        <v>36852.019999999997</v>
      </c>
      <c r="AN55">
        <v>202676.94</v>
      </c>
      <c r="AO55">
        <v>1534204.95</v>
      </c>
      <c r="AP55">
        <v>292847.28000000003</v>
      </c>
      <c r="AQ55">
        <v>62485.0799999999</v>
      </c>
      <c r="AR55">
        <v>121740.039999999</v>
      </c>
      <c r="AS55">
        <v>-338377.5</v>
      </c>
      <c r="AT55">
        <v>31.751439999999999</v>
      </c>
      <c r="AU55">
        <v>30.830648239999999</v>
      </c>
      <c r="AV55">
        <v>15293080.5997284</v>
      </c>
      <c r="AW55">
        <v>105711359.66</v>
      </c>
      <c r="AX55">
        <v>6.9123652994987399</v>
      </c>
      <c r="AY55">
        <v>535661.26199999999</v>
      </c>
      <c r="AZ55">
        <v>1.05580056639311</v>
      </c>
      <c r="BA55">
        <v>608339.26829268294</v>
      </c>
      <c r="BB55">
        <v>1.19905057465698</v>
      </c>
      <c r="BC55">
        <v>24.7561145578469</v>
      </c>
    </row>
    <row r="56" spans="1:55" x14ac:dyDescent="0.2">
      <c r="A56" t="s">
        <v>163</v>
      </c>
      <c r="B56" t="s">
        <v>164</v>
      </c>
      <c r="C56">
        <v>640</v>
      </c>
      <c r="D56">
        <v>110</v>
      </c>
      <c r="E56">
        <v>0</v>
      </c>
      <c r="F56">
        <v>0</v>
      </c>
      <c r="G56">
        <v>0</v>
      </c>
      <c r="H56">
        <v>20</v>
      </c>
      <c r="I56">
        <v>770</v>
      </c>
      <c r="J56">
        <v>17337.54</v>
      </c>
      <c r="K56">
        <v>228508.17</v>
      </c>
      <c r="L56">
        <v>159955.72</v>
      </c>
      <c r="M56">
        <v>37718.46</v>
      </c>
      <c r="N56">
        <v>119528.65</v>
      </c>
      <c r="O56">
        <v>327533.40000000002</v>
      </c>
      <c r="P56">
        <v>6060000</v>
      </c>
      <c r="Q56">
        <v>9920.8700000000008</v>
      </c>
      <c r="R56">
        <v>977.81</v>
      </c>
      <c r="S56">
        <v>8686.74</v>
      </c>
      <c r="T56">
        <v>218154.99</v>
      </c>
      <c r="U56">
        <v>62</v>
      </c>
      <c r="V56">
        <v>0</v>
      </c>
      <c r="W56">
        <v>0</v>
      </c>
      <c r="X56">
        <v>0</v>
      </c>
      <c r="Y56">
        <v>0</v>
      </c>
      <c r="Z56">
        <v>9920.8700000000008</v>
      </c>
      <c r="AA56">
        <v>977.81</v>
      </c>
      <c r="AB56">
        <v>8686.74</v>
      </c>
      <c r="AC56">
        <v>218154.99</v>
      </c>
      <c r="AD56">
        <v>1.35</v>
      </c>
      <c r="AE56">
        <v>0.87</v>
      </c>
      <c r="AF56">
        <v>1.1399999999999999</v>
      </c>
      <c r="AG56">
        <v>3.21</v>
      </c>
      <c r="AH56">
        <v>15234.31</v>
      </c>
      <c r="AI56">
        <v>4338.8900000000003</v>
      </c>
      <c r="AJ56">
        <v>23719.24</v>
      </c>
      <c r="AK56">
        <v>393392.33</v>
      </c>
      <c r="AL56">
        <v>9920.8700000000008</v>
      </c>
      <c r="AM56">
        <v>977.81</v>
      </c>
      <c r="AN56">
        <v>8686.74</v>
      </c>
      <c r="AO56">
        <v>218154.99</v>
      </c>
      <c r="AP56">
        <v>144721.41</v>
      </c>
      <c r="AQ56">
        <v>33379.57</v>
      </c>
      <c r="AR56">
        <v>95809.409999999902</v>
      </c>
      <c r="AS56">
        <v>-65858.929999999993</v>
      </c>
      <c r="AT56">
        <v>28.122703999999999</v>
      </c>
      <c r="AU56">
        <v>27.307145583999901</v>
      </c>
      <c r="AV56">
        <v>7475331.1036199899</v>
      </c>
      <c r="AW56">
        <v>22939584.600000001</v>
      </c>
      <c r="AX56">
        <v>3.0687048215016501</v>
      </c>
      <c r="AY56">
        <v>224001.01680000001</v>
      </c>
      <c r="AZ56">
        <v>0.98027574593941202</v>
      </c>
      <c r="BA56">
        <v>274640.24390243902</v>
      </c>
      <c r="BB56">
        <v>1.2018836958977801</v>
      </c>
      <c r="BC56">
        <v>22.893370048309102</v>
      </c>
    </row>
    <row r="57" spans="1:55" x14ac:dyDescent="0.2">
      <c r="A57" t="s">
        <v>165</v>
      </c>
      <c r="B57" t="s">
        <v>166</v>
      </c>
      <c r="C57">
        <v>4410</v>
      </c>
      <c r="D57">
        <v>615</v>
      </c>
      <c r="E57">
        <v>2050</v>
      </c>
      <c r="F57">
        <v>1925</v>
      </c>
      <c r="G57">
        <v>675</v>
      </c>
      <c r="H57">
        <v>425</v>
      </c>
      <c r="I57">
        <v>10100</v>
      </c>
      <c r="J57">
        <v>167004.76</v>
      </c>
      <c r="K57">
        <v>2057390.4</v>
      </c>
      <c r="L57">
        <v>1440173.28</v>
      </c>
      <c r="M57">
        <v>338922</v>
      </c>
      <c r="N57">
        <v>858490.77</v>
      </c>
      <c r="O57">
        <v>2223944.1</v>
      </c>
      <c r="P57">
        <v>144664500</v>
      </c>
      <c r="Q57">
        <v>250588.89</v>
      </c>
      <c r="R57">
        <v>53141.97</v>
      </c>
      <c r="S57">
        <v>321915.59000000003</v>
      </c>
      <c r="T57">
        <v>2237171.16</v>
      </c>
      <c r="U57">
        <v>74</v>
      </c>
      <c r="V57">
        <v>302999.84999999998</v>
      </c>
      <c r="W57">
        <v>114122.69</v>
      </c>
      <c r="X57">
        <v>454899.95</v>
      </c>
      <c r="Y57">
        <v>1904996.76</v>
      </c>
      <c r="Z57">
        <v>250588.89</v>
      </c>
      <c r="AA57">
        <v>53141.97</v>
      </c>
      <c r="AB57">
        <v>321915.59000000003</v>
      </c>
      <c r="AC57">
        <v>2237171.16</v>
      </c>
      <c r="AD57">
        <v>1.1499999999999999</v>
      </c>
      <c r="AE57">
        <v>1.42</v>
      </c>
      <c r="AF57">
        <v>1</v>
      </c>
      <c r="AG57">
        <v>4.34</v>
      </c>
      <c r="AH57">
        <v>318780.36</v>
      </c>
      <c r="AI57">
        <v>88257.86</v>
      </c>
      <c r="AJ57">
        <v>375107.99</v>
      </c>
      <c r="AK57">
        <v>1787043.05</v>
      </c>
      <c r="AL57">
        <v>553588.74</v>
      </c>
      <c r="AM57">
        <v>167264.66</v>
      </c>
      <c r="AN57">
        <v>776815.54</v>
      </c>
      <c r="AO57">
        <v>4142167.92</v>
      </c>
      <c r="AP57">
        <v>818393.07</v>
      </c>
      <c r="AQ57">
        <v>136541.44999999899</v>
      </c>
      <c r="AR57">
        <v>28482.83</v>
      </c>
      <c r="AS57">
        <v>-1468095.71</v>
      </c>
      <c r="AT57">
        <v>33.565807999999997</v>
      </c>
      <c r="AU57">
        <v>32.592399567999998</v>
      </c>
      <c r="AV57">
        <v>59778534.857657999</v>
      </c>
      <c r="AW57">
        <v>547614444.94500005</v>
      </c>
      <c r="AX57">
        <v>9.1607204199459709</v>
      </c>
      <c r="AY57">
        <v>2157701.4992</v>
      </c>
      <c r="AZ57">
        <v>1.0487564728599801</v>
      </c>
      <c r="BA57">
        <v>2413896.3414634098</v>
      </c>
      <c r="BB57">
        <v>1.1732806478845299</v>
      </c>
      <c r="BC57">
        <v>24.2679254297359</v>
      </c>
    </row>
    <row r="58" spans="1:55" x14ac:dyDescent="0.2">
      <c r="A58" t="s">
        <v>167</v>
      </c>
      <c r="B58" t="s">
        <v>168</v>
      </c>
      <c r="C58">
        <v>1780</v>
      </c>
      <c r="D58">
        <v>0</v>
      </c>
      <c r="E58">
        <v>137</v>
      </c>
      <c r="F58">
        <v>591</v>
      </c>
      <c r="G58">
        <v>447</v>
      </c>
      <c r="H58">
        <v>0</v>
      </c>
      <c r="I58">
        <v>2955</v>
      </c>
      <c r="J58">
        <v>56590.87</v>
      </c>
      <c r="K58">
        <v>718181.11</v>
      </c>
      <c r="L58">
        <v>502726.78</v>
      </c>
      <c r="M58">
        <v>119720.75</v>
      </c>
      <c r="N58">
        <v>353547</v>
      </c>
      <c r="O58">
        <v>840409.2</v>
      </c>
      <c r="P58">
        <v>45720000</v>
      </c>
      <c r="Q58">
        <v>152413.07999999999</v>
      </c>
      <c r="R58">
        <v>24950.43</v>
      </c>
      <c r="S58">
        <v>192721.78</v>
      </c>
      <c r="T58">
        <v>1347844.34</v>
      </c>
      <c r="U58">
        <v>80</v>
      </c>
      <c r="V58">
        <v>186757.32</v>
      </c>
      <c r="W58">
        <v>121401.43</v>
      </c>
      <c r="X58">
        <v>433072.39</v>
      </c>
      <c r="Y58">
        <v>576000</v>
      </c>
      <c r="Z58">
        <v>152413.07999999999</v>
      </c>
      <c r="AA58">
        <v>24950.43</v>
      </c>
      <c r="AB58">
        <v>192721.78</v>
      </c>
      <c r="AC58">
        <v>1347844.34</v>
      </c>
      <c r="AD58">
        <v>0.91</v>
      </c>
      <c r="AE58">
        <v>1.32</v>
      </c>
      <c r="AF58">
        <v>1.05</v>
      </c>
      <c r="AG58">
        <v>2.36</v>
      </c>
      <c r="AH58">
        <v>0</v>
      </c>
      <c r="AI58">
        <v>0</v>
      </c>
      <c r="AJ58">
        <v>0</v>
      </c>
      <c r="AK58">
        <v>0</v>
      </c>
      <c r="AL58">
        <v>339170.4</v>
      </c>
      <c r="AM58">
        <v>146351.85999999999</v>
      </c>
      <c r="AN58">
        <v>625794.17000000004</v>
      </c>
      <c r="AO58">
        <v>1923844.34</v>
      </c>
      <c r="AP58">
        <v>315969.45999999897</v>
      </c>
      <c r="AQ58">
        <v>-1680.6799999999901</v>
      </c>
      <c r="AR58">
        <v>-79525.39</v>
      </c>
      <c r="AS58">
        <v>264409.19999999902</v>
      </c>
      <c r="AT58">
        <v>36.28736</v>
      </c>
      <c r="AU58">
        <v>35.235026560000001</v>
      </c>
      <c r="AV58">
        <v>22892196.756032001</v>
      </c>
      <c r="AW58">
        <v>173068945.19999999</v>
      </c>
      <c r="AX58">
        <v>7.5601720116439699</v>
      </c>
      <c r="AY58">
        <v>731154.04040000006</v>
      </c>
      <c r="AZ58">
        <v>1.01806359178675</v>
      </c>
      <c r="BA58">
        <v>766811.58536585304</v>
      </c>
      <c r="BB58">
        <v>1.06771338690021</v>
      </c>
      <c r="BC58">
        <v>25.608141603664201</v>
      </c>
    </row>
    <row r="59" spans="1:55" x14ac:dyDescent="0.2">
      <c r="A59" t="s">
        <v>169</v>
      </c>
      <c r="B59" t="s">
        <v>170</v>
      </c>
      <c r="C59">
        <v>2315</v>
      </c>
      <c r="D59">
        <v>350</v>
      </c>
      <c r="E59">
        <v>900</v>
      </c>
      <c r="F59">
        <v>800</v>
      </c>
      <c r="G59">
        <v>200</v>
      </c>
      <c r="H59">
        <v>0</v>
      </c>
      <c r="I59">
        <v>4565</v>
      </c>
      <c r="J59">
        <v>82103.149999999994</v>
      </c>
      <c r="K59">
        <v>1018164.07</v>
      </c>
      <c r="L59">
        <v>712714.85</v>
      </c>
      <c r="M59">
        <v>169011.83</v>
      </c>
      <c r="N59">
        <v>446083.62</v>
      </c>
      <c r="O59">
        <v>1173707.1000000001</v>
      </c>
      <c r="P59">
        <v>55881000</v>
      </c>
      <c r="Q59">
        <v>184886.25</v>
      </c>
      <c r="R59">
        <v>30813.14</v>
      </c>
      <c r="S59">
        <v>266213.01</v>
      </c>
      <c r="T59">
        <v>1364376.96</v>
      </c>
      <c r="U59">
        <v>71</v>
      </c>
      <c r="V59">
        <v>152879.64000000001</v>
      </c>
      <c r="W59">
        <v>34542.800000000003</v>
      </c>
      <c r="X59">
        <v>109427.23</v>
      </c>
      <c r="Y59">
        <v>585508.9</v>
      </c>
      <c r="Z59">
        <v>184886.25</v>
      </c>
      <c r="AA59">
        <v>30813.14</v>
      </c>
      <c r="AB59">
        <v>266213.01</v>
      </c>
      <c r="AC59">
        <v>1364376.96</v>
      </c>
      <c r="AD59">
        <v>1.02</v>
      </c>
      <c r="AE59">
        <v>0.98</v>
      </c>
      <c r="AF59">
        <v>0.87</v>
      </c>
      <c r="AG59">
        <v>1.53</v>
      </c>
      <c r="AH59">
        <v>154163.07</v>
      </c>
      <c r="AI59">
        <v>20180.3</v>
      </c>
      <c r="AJ59">
        <v>36982.800000000003</v>
      </c>
      <c r="AK59">
        <v>1469364.78</v>
      </c>
      <c r="AL59">
        <v>337765.89</v>
      </c>
      <c r="AM59">
        <v>65355.94</v>
      </c>
      <c r="AN59">
        <v>375640.24</v>
      </c>
      <c r="AO59">
        <v>1949885.8599999901</v>
      </c>
      <c r="AP59">
        <v>405672.13999999902</v>
      </c>
      <c r="AQ59">
        <v>114288.72999999901</v>
      </c>
      <c r="AR59">
        <v>299673.59000000003</v>
      </c>
      <c r="AS59">
        <v>-881166.57999999903</v>
      </c>
      <c r="AT59">
        <v>32.205032000000003</v>
      </c>
      <c r="AU59">
        <v>31.271086071999999</v>
      </c>
      <c r="AV59">
        <v>30418167.199386202</v>
      </c>
      <c r="AW59">
        <v>211532496.21000001</v>
      </c>
      <c r="AX59">
        <v>6.9541499599051599</v>
      </c>
      <c r="AY59">
        <v>1060772.6979999901</v>
      </c>
      <c r="AZ59">
        <v>1.04184848911433</v>
      </c>
      <c r="BA59">
        <v>1208639.63414634</v>
      </c>
      <c r="BB59">
        <v>1.18707747578083</v>
      </c>
      <c r="BC59">
        <v>24.434574456501998</v>
      </c>
    </row>
    <row r="60" spans="1:55" x14ac:dyDescent="0.2">
      <c r="A60" t="s">
        <v>171</v>
      </c>
      <c r="B60" t="s">
        <v>172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0.7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0.7</v>
      </c>
      <c r="AQ60">
        <v>1</v>
      </c>
      <c r="AR60">
        <v>1</v>
      </c>
      <c r="AS60">
        <v>0</v>
      </c>
      <c r="AT60">
        <v>0.453592</v>
      </c>
      <c r="AU60">
        <v>0.44043783199999997</v>
      </c>
      <c r="AV60">
        <v>0</v>
      </c>
      <c r="AW60">
        <v>0</v>
      </c>
    </row>
    <row r="61" spans="1:55" x14ac:dyDescent="0.2">
      <c r="A61" t="s">
        <v>173</v>
      </c>
      <c r="B61" t="s">
        <v>174</v>
      </c>
      <c r="C61">
        <v>425</v>
      </c>
      <c r="D61">
        <v>75</v>
      </c>
      <c r="E61">
        <v>100</v>
      </c>
      <c r="F61">
        <v>80</v>
      </c>
      <c r="G61">
        <v>35</v>
      </c>
      <c r="H61">
        <v>0</v>
      </c>
      <c r="I61">
        <v>715</v>
      </c>
      <c r="J61">
        <v>13592.08</v>
      </c>
      <c r="K61">
        <v>172958.52</v>
      </c>
      <c r="L61">
        <v>121070.96</v>
      </c>
      <c r="M61">
        <v>28552.97</v>
      </c>
      <c r="N61">
        <v>80494.45</v>
      </c>
      <c r="O61">
        <v>217953</v>
      </c>
      <c r="P61">
        <v>13950000</v>
      </c>
      <c r="Q61">
        <v>65979.240000000005</v>
      </c>
      <c r="R61">
        <v>3509.69</v>
      </c>
      <c r="S61">
        <v>74505.41</v>
      </c>
      <c r="T61">
        <v>706017.04</v>
      </c>
      <c r="U61">
        <v>66</v>
      </c>
      <c r="V61">
        <v>0</v>
      </c>
      <c r="W61">
        <v>0</v>
      </c>
      <c r="X61">
        <v>0</v>
      </c>
      <c r="Y61">
        <v>0</v>
      </c>
      <c r="Z61">
        <v>65979.240000000005</v>
      </c>
      <c r="AA61">
        <v>3509.69</v>
      </c>
      <c r="AB61">
        <v>74505.41</v>
      </c>
      <c r="AC61">
        <v>706017.04</v>
      </c>
      <c r="AD61">
        <v>0.98</v>
      </c>
      <c r="AE61">
        <v>0.23</v>
      </c>
      <c r="AF61">
        <v>0.62</v>
      </c>
      <c r="AG61">
        <v>1.6</v>
      </c>
      <c r="AH61">
        <v>81714.64</v>
      </c>
      <c r="AI61">
        <v>34029.599999999999</v>
      </c>
      <c r="AJ61">
        <v>81490.86</v>
      </c>
      <c r="AK61">
        <v>0</v>
      </c>
      <c r="AL61">
        <v>65979.240000000005</v>
      </c>
      <c r="AM61">
        <v>3509.69</v>
      </c>
      <c r="AN61">
        <v>74505.41</v>
      </c>
      <c r="AO61">
        <v>706017.04</v>
      </c>
      <c r="AP61">
        <v>39356.32</v>
      </c>
      <c r="AQ61">
        <v>-5476.6299999999901</v>
      </c>
      <c r="AR61">
        <v>-996.41000000001804</v>
      </c>
      <c r="AS61">
        <v>217953</v>
      </c>
      <c r="AT61">
        <v>29.937072000000001</v>
      </c>
      <c r="AU61">
        <v>29.068896912</v>
      </c>
      <c r="AV61">
        <v>5305073.6864400003</v>
      </c>
      <c r="AW61">
        <v>52806469.5</v>
      </c>
      <c r="AX61">
        <v>9.9539558960275407</v>
      </c>
      <c r="AY61">
        <v>175609.67360000001</v>
      </c>
      <c r="AZ61">
        <v>1.01532826252213</v>
      </c>
      <c r="BA61">
        <v>208094.512195121</v>
      </c>
      <c r="BB61">
        <v>1.2031469290736401</v>
      </c>
      <c r="BC61">
        <v>23.488947523709101</v>
      </c>
    </row>
    <row r="62" spans="1:55" x14ac:dyDescent="0.2">
      <c r="A62" t="s">
        <v>175</v>
      </c>
      <c r="B62" t="s">
        <v>176</v>
      </c>
      <c r="C62">
        <v>3920</v>
      </c>
      <c r="D62">
        <v>525</v>
      </c>
      <c r="E62">
        <v>850</v>
      </c>
      <c r="F62">
        <v>2430</v>
      </c>
      <c r="G62">
        <v>5250</v>
      </c>
      <c r="H62">
        <v>17110</v>
      </c>
      <c r="I62">
        <v>30085</v>
      </c>
      <c r="J62">
        <v>217461.02</v>
      </c>
      <c r="K62">
        <v>2872218.08</v>
      </c>
      <c r="L62">
        <v>2010552.66</v>
      </c>
      <c r="M62">
        <v>369701.13</v>
      </c>
      <c r="N62">
        <v>752772.93</v>
      </c>
      <c r="O62">
        <v>1971843.3</v>
      </c>
      <c r="P62">
        <v>230751000</v>
      </c>
      <c r="Q62">
        <v>674985.57</v>
      </c>
      <c r="R62">
        <v>160576.64000000001</v>
      </c>
      <c r="S62">
        <v>2008151.63</v>
      </c>
      <c r="T62">
        <v>6737369.1299999999</v>
      </c>
      <c r="U62">
        <v>70</v>
      </c>
      <c r="V62">
        <v>131007.63</v>
      </c>
      <c r="W62">
        <v>42518.67</v>
      </c>
      <c r="X62">
        <v>138246.24</v>
      </c>
      <c r="Y62">
        <v>0</v>
      </c>
      <c r="Z62">
        <v>552704.05000000005</v>
      </c>
      <c r="AA62">
        <v>125521.23</v>
      </c>
      <c r="AB62">
        <v>1362032.33</v>
      </c>
      <c r="AC62">
        <v>4915862.59</v>
      </c>
      <c r="AD62">
        <v>1.01</v>
      </c>
      <c r="AE62">
        <v>0.8</v>
      </c>
      <c r="AF62">
        <v>1.36</v>
      </c>
      <c r="AG62">
        <v>3.66</v>
      </c>
      <c r="AH62">
        <v>312077.03000000003</v>
      </c>
      <c r="AI62">
        <v>94230.71</v>
      </c>
      <c r="AJ62">
        <v>889715.03</v>
      </c>
      <c r="AK62">
        <v>4447293.5199999996</v>
      </c>
      <c r="AL62">
        <v>683711.68</v>
      </c>
      <c r="AM62">
        <v>168039.9</v>
      </c>
      <c r="AN62">
        <v>1500278.57</v>
      </c>
      <c r="AO62">
        <v>4915862.59</v>
      </c>
      <c r="AP62">
        <v>1689749.51999999</v>
      </c>
      <c r="AQ62">
        <v>268007.15999999997</v>
      </c>
      <c r="AR62">
        <v>370930.95999999897</v>
      </c>
      <c r="AS62">
        <v>-653943.679999999</v>
      </c>
      <c r="AT62">
        <v>31.751439999999999</v>
      </c>
      <c r="AU62">
        <v>30.830648239999999</v>
      </c>
      <c r="AV62">
        <v>50020414.470781997</v>
      </c>
      <c r="AW62">
        <v>873487142.90999997</v>
      </c>
      <c r="AX62">
        <v>17.462613058118901</v>
      </c>
      <c r="AY62">
        <v>2809596.3783999998</v>
      </c>
      <c r="AZ62">
        <v>0.97819744188783797</v>
      </c>
      <c r="BA62">
        <v>3055717.6829268201</v>
      </c>
      <c r="BB62">
        <v>1.0638877682041501</v>
      </c>
      <c r="BC62">
        <v>15.72899438118</v>
      </c>
    </row>
    <row r="63" spans="1:55" x14ac:dyDescent="0.2">
      <c r="A63" t="s">
        <v>177</v>
      </c>
      <c r="B63" t="s">
        <v>178</v>
      </c>
      <c r="C63">
        <v>1450</v>
      </c>
      <c r="D63">
        <v>285</v>
      </c>
      <c r="E63">
        <v>40</v>
      </c>
      <c r="F63">
        <v>0</v>
      </c>
      <c r="G63">
        <v>2200</v>
      </c>
      <c r="H63">
        <v>0</v>
      </c>
      <c r="I63">
        <v>3975</v>
      </c>
      <c r="J63">
        <v>50284.77</v>
      </c>
      <c r="K63">
        <v>665247.13</v>
      </c>
      <c r="L63">
        <v>465672.99</v>
      </c>
      <c r="M63">
        <v>99694.44</v>
      </c>
      <c r="N63">
        <v>282270.21000000002</v>
      </c>
      <c r="O63">
        <v>750318.3</v>
      </c>
      <c r="P63">
        <v>24601500</v>
      </c>
      <c r="Q63">
        <v>104811.59</v>
      </c>
      <c r="R63">
        <v>21348.880000000001</v>
      </c>
      <c r="S63">
        <v>403885.22</v>
      </c>
      <c r="T63">
        <v>782818.54</v>
      </c>
      <c r="U63">
        <v>74</v>
      </c>
      <c r="V63">
        <v>0</v>
      </c>
      <c r="W63">
        <v>0</v>
      </c>
      <c r="X63">
        <v>0</v>
      </c>
      <c r="Y63">
        <v>0</v>
      </c>
      <c r="Z63">
        <v>104811.59</v>
      </c>
      <c r="AA63">
        <v>21348.880000000001</v>
      </c>
      <c r="AB63">
        <v>403885.22</v>
      </c>
      <c r="AC63">
        <v>782818.54</v>
      </c>
      <c r="AD63">
        <v>1.19</v>
      </c>
      <c r="AE63">
        <v>1.1399999999999999</v>
      </c>
      <c r="AF63">
        <v>3.29</v>
      </c>
      <c r="AG63">
        <v>1.77</v>
      </c>
      <c r="AH63">
        <v>252837.49</v>
      </c>
      <c r="AI63">
        <v>108669.25</v>
      </c>
      <c r="AJ63">
        <v>268311.51</v>
      </c>
      <c r="AK63">
        <v>0</v>
      </c>
      <c r="AL63">
        <v>104811.59</v>
      </c>
      <c r="AM63">
        <v>21348.880000000001</v>
      </c>
      <c r="AN63">
        <v>403885.22</v>
      </c>
      <c r="AO63">
        <v>782818.54</v>
      </c>
      <c r="AP63">
        <v>212835.5</v>
      </c>
      <c r="AQ63">
        <v>-8974.8099999999904</v>
      </c>
      <c r="AR63">
        <v>13958.699999999901</v>
      </c>
      <c r="AS63">
        <v>750318.3</v>
      </c>
      <c r="AT63">
        <v>33.565807999999997</v>
      </c>
      <c r="AU63">
        <v>32.592399567999998</v>
      </c>
      <c r="AV63">
        <v>20639951.8364251</v>
      </c>
      <c r="AW63">
        <v>93126764.114999995</v>
      </c>
      <c r="AX63">
        <v>4.5119661544292304</v>
      </c>
      <c r="AY63">
        <v>649679.22839999897</v>
      </c>
      <c r="AZ63">
        <v>0.97659831828210897</v>
      </c>
      <c r="BA63">
        <v>736543.29268292605</v>
      </c>
      <c r="BB63">
        <v>1.10717244685133</v>
      </c>
      <c r="BC63">
        <v>19.684685826132601</v>
      </c>
    </row>
    <row r="64" spans="1:55" x14ac:dyDescent="0.2">
      <c r="A64" t="s">
        <v>179</v>
      </c>
      <c r="B64" t="s">
        <v>180</v>
      </c>
      <c r="C64">
        <v>2975</v>
      </c>
      <c r="D64">
        <v>275</v>
      </c>
      <c r="E64">
        <v>400</v>
      </c>
      <c r="F64">
        <v>1425</v>
      </c>
      <c r="G64">
        <v>1275</v>
      </c>
      <c r="H64">
        <v>665</v>
      </c>
      <c r="I64">
        <v>7015</v>
      </c>
      <c r="J64">
        <v>107014.31</v>
      </c>
      <c r="K64">
        <v>1346774.6</v>
      </c>
      <c r="L64">
        <v>942742.22</v>
      </c>
      <c r="M64">
        <v>216647.34</v>
      </c>
      <c r="N64">
        <v>581100.53</v>
      </c>
      <c r="O64">
        <v>1468026</v>
      </c>
      <c r="P64">
        <v>81141342</v>
      </c>
      <c r="Q64">
        <v>270751.53999999998</v>
      </c>
      <c r="R64">
        <v>21630.48</v>
      </c>
      <c r="S64">
        <v>295327.09000000003</v>
      </c>
      <c r="T64">
        <v>2152871.7400000002</v>
      </c>
      <c r="U64">
        <v>75</v>
      </c>
      <c r="V64">
        <v>86819.04</v>
      </c>
      <c r="W64">
        <v>35370.720000000001</v>
      </c>
      <c r="X64">
        <v>63104.58</v>
      </c>
      <c r="Y64">
        <v>2363407.2000000002</v>
      </c>
      <c r="Z64">
        <v>270751.53999999998</v>
      </c>
      <c r="AA64">
        <v>21630.48</v>
      </c>
      <c r="AB64">
        <v>295327.09000000003</v>
      </c>
      <c r="AC64">
        <v>2152871.7400000002</v>
      </c>
      <c r="AD64">
        <v>0.77</v>
      </c>
      <c r="AE64">
        <v>0.74</v>
      </c>
      <c r="AF64">
        <v>0.88</v>
      </c>
      <c r="AG64">
        <v>2.8</v>
      </c>
      <c r="AH64">
        <v>260198.39999999999</v>
      </c>
      <c r="AI64">
        <v>53222.400000000001</v>
      </c>
      <c r="AJ64">
        <v>164102.39999999999</v>
      </c>
      <c r="AK64">
        <v>0</v>
      </c>
      <c r="AL64">
        <v>357570.57999999903</v>
      </c>
      <c r="AM64">
        <v>57001.2</v>
      </c>
      <c r="AN64">
        <v>358431.67</v>
      </c>
      <c r="AO64">
        <v>4516278.9400000004</v>
      </c>
      <c r="AP64">
        <v>595724.78</v>
      </c>
      <c r="AQ64">
        <v>128054.22</v>
      </c>
      <c r="AR64">
        <v>353893.55</v>
      </c>
      <c r="AS64">
        <v>-895381.2</v>
      </c>
      <c r="AT64">
        <v>34.019399999999997</v>
      </c>
      <c r="AU64">
        <v>33.032837399999998</v>
      </c>
      <c r="AV64">
        <v>39185203.365749903</v>
      </c>
      <c r="AW64">
        <v>307153247.42022002</v>
      </c>
      <c r="AX64">
        <v>7.83850078697533</v>
      </c>
      <c r="AY64">
        <v>1382624.8851999999</v>
      </c>
      <c r="AZ64">
        <v>1.02661936540828</v>
      </c>
      <c r="BA64">
        <v>1516307.9268292601</v>
      </c>
      <c r="BB64">
        <v>1.12588099510435</v>
      </c>
      <c r="BC64">
        <v>23.126033522203102</v>
      </c>
    </row>
    <row r="65" spans="1:55" x14ac:dyDescent="0.2">
      <c r="A65" t="s">
        <v>181</v>
      </c>
      <c r="B65" t="s">
        <v>182</v>
      </c>
      <c r="C65">
        <v>3405</v>
      </c>
      <c r="D65">
        <v>550</v>
      </c>
      <c r="E65">
        <v>395</v>
      </c>
      <c r="F65">
        <v>375</v>
      </c>
      <c r="G65">
        <v>460</v>
      </c>
      <c r="H65">
        <v>0</v>
      </c>
      <c r="I65">
        <v>5185</v>
      </c>
      <c r="J65">
        <v>107018.14</v>
      </c>
      <c r="K65">
        <v>1368787.28</v>
      </c>
      <c r="L65">
        <v>958151.1</v>
      </c>
      <c r="M65">
        <v>226027.51999999999</v>
      </c>
      <c r="N65">
        <v>665091.53</v>
      </c>
      <c r="O65">
        <v>1734455.7</v>
      </c>
      <c r="P65">
        <v>48434651</v>
      </c>
      <c r="Q65">
        <v>187275.43</v>
      </c>
      <c r="R65">
        <v>18681.64</v>
      </c>
      <c r="S65">
        <v>209796.23</v>
      </c>
      <c r="T65">
        <v>1412307.08</v>
      </c>
      <c r="U65">
        <v>75</v>
      </c>
      <c r="V65">
        <v>117259.76</v>
      </c>
      <c r="W65">
        <v>50854.720000000001</v>
      </c>
      <c r="X65">
        <v>125286.72</v>
      </c>
      <c r="Y65">
        <v>1204718.3999999999</v>
      </c>
      <c r="Z65">
        <v>187275.43</v>
      </c>
      <c r="AA65">
        <v>18681.64</v>
      </c>
      <c r="AB65">
        <v>209796.23</v>
      </c>
      <c r="AC65">
        <v>1412307.08</v>
      </c>
      <c r="AD65">
        <v>1.1200000000000001</v>
      </c>
      <c r="AE65">
        <v>1.55</v>
      </c>
      <c r="AF65">
        <v>1.31</v>
      </c>
      <c r="AG65">
        <v>2</v>
      </c>
      <c r="AH65">
        <v>0</v>
      </c>
      <c r="AI65">
        <v>0</v>
      </c>
      <c r="AJ65">
        <v>0</v>
      </c>
      <c r="AK65">
        <v>0</v>
      </c>
      <c r="AL65">
        <v>304535.19</v>
      </c>
      <c r="AM65">
        <v>69536.36</v>
      </c>
      <c r="AN65">
        <v>335082.95</v>
      </c>
      <c r="AO65">
        <v>2617025.48</v>
      </c>
      <c r="AP65">
        <v>840891.34</v>
      </c>
      <c r="AQ65">
        <v>175172.8</v>
      </c>
      <c r="AR65">
        <v>539804.81000000006</v>
      </c>
      <c r="AS65">
        <v>529737.30000000005</v>
      </c>
      <c r="AT65">
        <v>34.019399999999997</v>
      </c>
      <c r="AU65">
        <v>33.032837399999998</v>
      </c>
      <c r="AV65">
        <v>47685378.249705002</v>
      </c>
      <c r="AW65">
        <v>183345012.24191001</v>
      </c>
      <c r="AX65">
        <v>3.8448895441663802</v>
      </c>
      <c r="AY65">
        <v>1382674.3688000001</v>
      </c>
      <c r="AZ65">
        <v>1.01014554197201</v>
      </c>
      <c r="BA65">
        <v>1566873.7804878</v>
      </c>
      <c r="BB65">
        <v>1.1447167893668599</v>
      </c>
      <c r="BC65">
        <v>24.294696935300699</v>
      </c>
    </row>
    <row r="66" spans="1:55" x14ac:dyDescent="0.2">
      <c r="A66" t="s">
        <v>183</v>
      </c>
      <c r="B66" t="s">
        <v>184</v>
      </c>
      <c r="C66">
        <v>0</v>
      </c>
      <c r="D66">
        <v>0</v>
      </c>
      <c r="E66">
        <v>2320</v>
      </c>
      <c r="F66">
        <v>2425</v>
      </c>
      <c r="G66">
        <v>2750</v>
      </c>
      <c r="H66">
        <v>0</v>
      </c>
      <c r="I66">
        <v>7495</v>
      </c>
      <c r="J66">
        <v>57302.78</v>
      </c>
      <c r="K66">
        <v>592444.19999999995</v>
      </c>
      <c r="L66">
        <v>414710.94</v>
      </c>
      <c r="M66">
        <v>86377.83</v>
      </c>
      <c r="N66">
        <v>1</v>
      </c>
      <c r="O66">
        <v>0</v>
      </c>
      <c r="P66">
        <v>6538331</v>
      </c>
      <c r="Q66">
        <v>8312.2000000000007</v>
      </c>
      <c r="R66">
        <v>754.81</v>
      </c>
      <c r="S66">
        <v>7991.54</v>
      </c>
      <c r="T66">
        <v>38792.980000000003</v>
      </c>
      <c r="U66">
        <v>1</v>
      </c>
      <c r="V66">
        <v>9721.92</v>
      </c>
      <c r="W66">
        <v>4446</v>
      </c>
      <c r="X66">
        <v>12211.68</v>
      </c>
      <c r="Y66">
        <v>389469.6</v>
      </c>
      <c r="Z66">
        <v>8312.2000000000007</v>
      </c>
      <c r="AA66">
        <v>754.81</v>
      </c>
      <c r="AB66">
        <v>7991.54</v>
      </c>
      <c r="AC66">
        <v>38792.980000000003</v>
      </c>
      <c r="AD66">
        <v>0.39</v>
      </c>
      <c r="AE66">
        <v>0.51</v>
      </c>
      <c r="AF66">
        <v>0.34</v>
      </c>
      <c r="AG66">
        <v>2.75</v>
      </c>
      <c r="AH66">
        <v>627969.76</v>
      </c>
      <c r="AI66">
        <v>232140.48</v>
      </c>
      <c r="AJ66">
        <v>714278.40000000002</v>
      </c>
      <c r="AK66">
        <v>0</v>
      </c>
      <c r="AL66">
        <v>18034.12</v>
      </c>
      <c r="AM66">
        <v>5200.8099999999904</v>
      </c>
      <c r="AN66">
        <v>20203.22</v>
      </c>
      <c r="AO66">
        <v>428262.57999999903</v>
      </c>
      <c r="AP66">
        <v>-222980.74</v>
      </c>
      <c r="AQ66">
        <v>-150208.65</v>
      </c>
      <c r="AR66">
        <v>-726489.08</v>
      </c>
      <c r="AS66">
        <v>-389469.6</v>
      </c>
      <c r="AT66">
        <v>0.453592</v>
      </c>
      <c r="AU66">
        <v>0.44043783199999997</v>
      </c>
      <c r="AV66">
        <v>0</v>
      </c>
      <c r="AW66">
        <v>24750263.55071</v>
      </c>
      <c r="AY66">
        <v>740351.917599999</v>
      </c>
      <c r="AZ66">
        <v>1.24965679063108</v>
      </c>
      <c r="BA66">
        <v>756039.63414634101</v>
      </c>
      <c r="BB66">
        <v>1.2761364431390101</v>
      </c>
      <c r="BC66">
        <v>20.897611563264299</v>
      </c>
    </row>
    <row r="67" spans="1:55" x14ac:dyDescent="0.2">
      <c r="A67" t="s">
        <v>185</v>
      </c>
      <c r="B67" t="s">
        <v>186</v>
      </c>
      <c r="C67">
        <v>4800</v>
      </c>
      <c r="D67">
        <v>550</v>
      </c>
      <c r="E67">
        <v>900</v>
      </c>
      <c r="F67">
        <v>1800</v>
      </c>
      <c r="G67">
        <v>1801</v>
      </c>
      <c r="H67">
        <v>0</v>
      </c>
      <c r="I67">
        <v>9851</v>
      </c>
      <c r="J67">
        <v>163307.49</v>
      </c>
      <c r="K67">
        <v>2064100.2</v>
      </c>
      <c r="L67">
        <v>1444870.14</v>
      </c>
      <c r="M67">
        <v>336572.61</v>
      </c>
      <c r="N67">
        <v>921762.77</v>
      </c>
      <c r="O67">
        <v>2393091</v>
      </c>
      <c r="P67">
        <v>152427500</v>
      </c>
      <c r="Q67">
        <v>511866.73</v>
      </c>
      <c r="R67">
        <v>73438.880000000005</v>
      </c>
      <c r="S67">
        <v>391089.78</v>
      </c>
      <c r="T67">
        <v>2806663.88</v>
      </c>
      <c r="U67">
        <v>70</v>
      </c>
      <c r="V67">
        <v>351582.26</v>
      </c>
      <c r="W67">
        <v>134477.06</v>
      </c>
      <c r="X67">
        <v>603376.49</v>
      </c>
      <c r="Y67">
        <v>9036094.0800000001</v>
      </c>
      <c r="Z67">
        <v>511866.73</v>
      </c>
      <c r="AA67">
        <v>73438.880000000005</v>
      </c>
      <c r="AB67">
        <v>391089.78</v>
      </c>
      <c r="AC67">
        <v>2806663.88</v>
      </c>
      <c r="AD67">
        <v>0.69</v>
      </c>
      <c r="AE67">
        <v>1.06</v>
      </c>
      <c r="AF67">
        <v>0.81</v>
      </c>
      <c r="AG67">
        <v>2.8</v>
      </c>
      <c r="AH67">
        <v>0</v>
      </c>
      <c r="AI67">
        <v>0</v>
      </c>
      <c r="AJ67">
        <v>0</v>
      </c>
      <c r="AK67">
        <v>0</v>
      </c>
      <c r="AL67">
        <v>863448.99</v>
      </c>
      <c r="AM67">
        <v>207915.94</v>
      </c>
      <c r="AN67">
        <v>994466.27</v>
      </c>
      <c r="AO67">
        <v>11842757.960000001</v>
      </c>
      <c r="AP67">
        <v>1093287.8799999999</v>
      </c>
      <c r="AQ67">
        <v>202095.55</v>
      </c>
      <c r="AR67">
        <v>318386.28000000003</v>
      </c>
      <c r="AS67">
        <v>-6643003.0800000001</v>
      </c>
      <c r="AT67">
        <v>31.751439999999999</v>
      </c>
      <c r="AU67">
        <v>30.830648239999999</v>
      </c>
      <c r="AV67">
        <v>60204548.350659899</v>
      </c>
      <c r="AW67">
        <v>577000582.77499998</v>
      </c>
      <c r="AX67">
        <v>9.5840031788673699</v>
      </c>
      <c r="AY67">
        <v>2109932.7708000001</v>
      </c>
      <c r="AZ67">
        <v>1.02220462494989</v>
      </c>
      <c r="BA67">
        <v>2393465.2439024299</v>
      </c>
      <c r="BB67">
        <v>1.15956834067572</v>
      </c>
      <c r="BC67">
        <v>23.340620466072799</v>
      </c>
    </row>
    <row r="68" spans="1:55" x14ac:dyDescent="0.2">
      <c r="A68" t="s">
        <v>187</v>
      </c>
      <c r="B68" t="s">
        <v>188</v>
      </c>
      <c r="C68">
        <v>7865</v>
      </c>
      <c r="D68">
        <v>800</v>
      </c>
      <c r="E68">
        <v>1275</v>
      </c>
      <c r="F68">
        <v>1350</v>
      </c>
      <c r="G68">
        <v>1310</v>
      </c>
      <c r="H68">
        <v>1305</v>
      </c>
      <c r="I68">
        <v>13905</v>
      </c>
      <c r="J68">
        <v>254174.74</v>
      </c>
      <c r="K68">
        <v>3235686.8</v>
      </c>
      <c r="L68">
        <v>2264980.7599999998</v>
      </c>
      <c r="M68">
        <v>529979.85</v>
      </c>
      <c r="N68">
        <v>1536254.01</v>
      </c>
      <c r="O68">
        <v>3897845.1</v>
      </c>
      <c r="P68">
        <v>228483162</v>
      </c>
      <c r="Q68">
        <v>867778.23</v>
      </c>
      <c r="R68">
        <v>94745.52</v>
      </c>
      <c r="S68">
        <v>955796.16</v>
      </c>
      <c r="T68">
        <v>6365724.9400000004</v>
      </c>
      <c r="U68">
        <v>75</v>
      </c>
      <c r="V68">
        <v>385046.32</v>
      </c>
      <c r="W68">
        <v>109464.96000000001</v>
      </c>
      <c r="X68">
        <v>218098.68</v>
      </c>
      <c r="Y68">
        <v>3271144.8</v>
      </c>
      <c r="Z68">
        <v>867778.23</v>
      </c>
      <c r="AA68">
        <v>94745.52</v>
      </c>
      <c r="AB68">
        <v>955796.16</v>
      </c>
      <c r="AC68">
        <v>6365724.9400000004</v>
      </c>
      <c r="AD68">
        <v>1.03</v>
      </c>
      <c r="AE68">
        <v>0.8</v>
      </c>
      <c r="AF68">
        <v>0.92</v>
      </c>
      <c r="AG68">
        <v>1.87</v>
      </c>
      <c r="AH68">
        <v>0</v>
      </c>
      <c r="AI68">
        <v>0</v>
      </c>
      <c r="AJ68">
        <v>0</v>
      </c>
      <c r="AK68">
        <v>0</v>
      </c>
      <c r="AL68">
        <v>1252824.55</v>
      </c>
      <c r="AM68">
        <v>204210.48</v>
      </c>
      <c r="AN68">
        <v>1173894.8400000001</v>
      </c>
      <c r="AO68">
        <v>9636869.7400000002</v>
      </c>
      <c r="AP68">
        <v>1879934.4399999899</v>
      </c>
      <c r="AQ68">
        <v>420514.89</v>
      </c>
      <c r="AR68">
        <v>1318155.3299999901</v>
      </c>
      <c r="AS68">
        <v>626700.30000000005</v>
      </c>
      <c r="AT68">
        <v>34.019399999999997</v>
      </c>
      <c r="AU68">
        <v>33.032837399999998</v>
      </c>
      <c r="AV68">
        <v>104473780.665915</v>
      </c>
      <c r="AW68">
        <v>864902446.26642001</v>
      </c>
      <c r="AX68">
        <v>8.2786555703597493</v>
      </c>
      <c r="AY68">
        <v>3283937.6407999899</v>
      </c>
      <c r="AZ68">
        <v>1.01491208629957</v>
      </c>
      <c r="BA68">
        <v>3629657.9268292598</v>
      </c>
      <c r="BB68">
        <v>1.1217581154113101</v>
      </c>
      <c r="BC68">
        <v>24.019370864208899</v>
      </c>
    </row>
    <row r="69" spans="1:55" x14ac:dyDescent="0.2">
      <c r="A69" t="s">
        <v>189</v>
      </c>
      <c r="B69" t="s">
        <v>190</v>
      </c>
      <c r="C69">
        <v>1215</v>
      </c>
      <c r="D69">
        <v>0</v>
      </c>
      <c r="E69">
        <v>405</v>
      </c>
      <c r="F69">
        <v>415</v>
      </c>
      <c r="G69">
        <v>0</v>
      </c>
      <c r="H69">
        <v>0</v>
      </c>
      <c r="I69">
        <v>2035</v>
      </c>
      <c r="J69">
        <v>34391.129999999997</v>
      </c>
      <c r="K69">
        <v>429583.95</v>
      </c>
      <c r="L69">
        <v>300708.77</v>
      </c>
      <c r="M69">
        <v>72471.25</v>
      </c>
      <c r="N69">
        <v>206848.19</v>
      </c>
      <c r="O69">
        <v>526629.6</v>
      </c>
      <c r="P69">
        <v>90350817</v>
      </c>
      <c r="Q69">
        <v>163868.01999999999</v>
      </c>
      <c r="R69">
        <v>29645.1</v>
      </c>
      <c r="S69">
        <v>166812.35</v>
      </c>
      <c r="T69">
        <v>1364622.05</v>
      </c>
      <c r="U69">
        <v>60</v>
      </c>
      <c r="V69">
        <v>0</v>
      </c>
      <c r="W69">
        <v>0</v>
      </c>
      <c r="X69">
        <v>0</v>
      </c>
      <c r="Y69">
        <v>0</v>
      </c>
      <c r="Z69">
        <v>163868.01999999999</v>
      </c>
      <c r="AA69">
        <v>29645.1</v>
      </c>
      <c r="AB69">
        <v>166812.35</v>
      </c>
      <c r="AC69">
        <v>1364622.05</v>
      </c>
      <c r="AD69">
        <v>1.1000000000000001</v>
      </c>
      <c r="AE69">
        <v>0.92</v>
      </c>
      <c r="AF69">
        <v>1.04</v>
      </c>
      <c r="AG69">
        <v>2.06</v>
      </c>
      <c r="AH69">
        <v>0</v>
      </c>
      <c r="AI69">
        <v>0</v>
      </c>
      <c r="AJ69">
        <v>0</v>
      </c>
      <c r="AK69">
        <v>0</v>
      </c>
      <c r="AL69">
        <v>163868.01999999999</v>
      </c>
      <c r="AM69">
        <v>29645.1</v>
      </c>
      <c r="AN69">
        <v>166812.35</v>
      </c>
      <c r="AO69">
        <v>1364622.05</v>
      </c>
      <c r="AP69">
        <v>300708.77</v>
      </c>
      <c r="AQ69">
        <v>72471.25</v>
      </c>
      <c r="AR69">
        <v>206848.19</v>
      </c>
      <c r="AS69">
        <v>526629.59999999905</v>
      </c>
      <c r="AT69">
        <v>27.215519999999898</v>
      </c>
      <c r="AU69">
        <v>26.4262699199999</v>
      </c>
      <c r="AV69">
        <v>11719390.0527719</v>
      </c>
      <c r="AW69">
        <v>342014886.17997003</v>
      </c>
      <c r="AX69">
        <v>29.183676338093399</v>
      </c>
      <c r="AY69">
        <v>444333.39959999901</v>
      </c>
      <c r="AZ69">
        <v>1.0343342659799</v>
      </c>
      <c r="BA69">
        <v>552975</v>
      </c>
      <c r="BB69">
        <v>1.28723384567789</v>
      </c>
      <c r="BC69">
        <v>22.7004158415841</v>
      </c>
    </row>
    <row r="70" spans="1:55" x14ac:dyDescent="0.2">
      <c r="A70" t="s">
        <v>191</v>
      </c>
      <c r="B70" t="s">
        <v>192</v>
      </c>
      <c r="C70">
        <v>5015</v>
      </c>
      <c r="D70">
        <v>750</v>
      </c>
      <c r="E70">
        <v>1605</v>
      </c>
      <c r="F70">
        <v>1375</v>
      </c>
      <c r="G70">
        <v>580</v>
      </c>
      <c r="H70">
        <v>750</v>
      </c>
      <c r="I70">
        <v>10075</v>
      </c>
      <c r="J70">
        <v>177680.58</v>
      </c>
      <c r="K70">
        <v>2214097.23</v>
      </c>
      <c r="L70">
        <v>1549868.06</v>
      </c>
      <c r="M70">
        <v>363541.16</v>
      </c>
      <c r="N70">
        <v>979569.47</v>
      </c>
      <c r="O70">
        <v>2540717.1</v>
      </c>
      <c r="P70">
        <v>96381051</v>
      </c>
      <c r="Q70">
        <v>218147.06</v>
      </c>
      <c r="R70">
        <v>39921.69</v>
      </c>
      <c r="S70">
        <v>374215.23</v>
      </c>
      <c r="T70">
        <v>1946169.07</v>
      </c>
      <c r="U70">
        <v>75</v>
      </c>
      <c r="V70">
        <v>310499.3</v>
      </c>
      <c r="W70">
        <v>118899.94</v>
      </c>
      <c r="X70">
        <v>285824.74</v>
      </c>
      <c r="Y70">
        <v>992301.6</v>
      </c>
      <c r="Z70">
        <v>218147.06</v>
      </c>
      <c r="AA70">
        <v>39921.69</v>
      </c>
      <c r="AB70">
        <v>374215.23</v>
      </c>
      <c r="AC70">
        <v>1946169.07</v>
      </c>
      <c r="AD70">
        <v>1.1200000000000001</v>
      </c>
      <c r="AE70">
        <v>1.61</v>
      </c>
      <c r="AF70">
        <v>1.54</v>
      </c>
      <c r="AG70">
        <v>4.1500000000000004</v>
      </c>
      <c r="AH70">
        <v>0</v>
      </c>
      <c r="AI70">
        <v>0</v>
      </c>
      <c r="AJ70">
        <v>0</v>
      </c>
      <c r="AK70">
        <v>0</v>
      </c>
      <c r="AL70">
        <v>528646.36</v>
      </c>
      <c r="AM70">
        <v>158821.63</v>
      </c>
      <c r="AN70">
        <v>660039.97</v>
      </c>
      <c r="AO70">
        <v>2938470.67</v>
      </c>
      <c r="AP70">
        <v>1239368.76</v>
      </c>
      <c r="AQ70">
        <v>244641.21999999901</v>
      </c>
      <c r="AR70">
        <v>693744.73</v>
      </c>
      <c r="AS70">
        <v>1548415.5</v>
      </c>
      <c r="AT70">
        <v>34.019399999999997</v>
      </c>
      <c r="AU70">
        <v>33.032837399999998</v>
      </c>
      <c r="AV70">
        <v>69508522.278015003</v>
      </c>
      <c r="AW70">
        <v>364841794.26591003</v>
      </c>
      <c r="AX70">
        <v>5.2488785879613804</v>
      </c>
      <c r="AY70">
        <v>2295633.0935999998</v>
      </c>
      <c r="AZ70">
        <v>1.0368257827593199</v>
      </c>
      <c r="BA70">
        <v>2561365.2439024299</v>
      </c>
      <c r="BB70">
        <v>1.1568440668264699</v>
      </c>
      <c r="BC70">
        <v>24.2011321030513</v>
      </c>
    </row>
    <row r="71" spans="1:55" x14ac:dyDescent="0.2">
      <c r="A71" t="s">
        <v>193</v>
      </c>
      <c r="B71" t="s">
        <v>194</v>
      </c>
      <c r="C71">
        <v>5350</v>
      </c>
      <c r="D71">
        <v>501</v>
      </c>
      <c r="E71">
        <v>1775</v>
      </c>
      <c r="F71">
        <v>1855</v>
      </c>
      <c r="G71">
        <v>735</v>
      </c>
      <c r="H71">
        <v>785</v>
      </c>
      <c r="I71">
        <v>11001</v>
      </c>
      <c r="J71">
        <v>185465.65</v>
      </c>
      <c r="K71">
        <v>2314197.98</v>
      </c>
      <c r="L71">
        <v>1619938.59</v>
      </c>
      <c r="M71">
        <v>380660.88</v>
      </c>
      <c r="N71">
        <v>1027381.42</v>
      </c>
      <c r="O71">
        <v>2641469.58</v>
      </c>
      <c r="P71">
        <v>142319460</v>
      </c>
      <c r="Q71">
        <v>250821.35</v>
      </c>
      <c r="R71">
        <v>49952.44</v>
      </c>
      <c r="S71">
        <v>369387.93</v>
      </c>
      <c r="T71">
        <v>2303199.7999999998</v>
      </c>
      <c r="U71">
        <v>70</v>
      </c>
      <c r="V71">
        <v>81673.56</v>
      </c>
      <c r="W71">
        <v>16897.98</v>
      </c>
      <c r="X71">
        <v>61556.92</v>
      </c>
      <c r="Y71">
        <v>2108223.87</v>
      </c>
      <c r="Z71">
        <v>250821.35</v>
      </c>
      <c r="AA71">
        <v>49952.44</v>
      </c>
      <c r="AB71">
        <v>369387.93</v>
      </c>
      <c r="AC71">
        <v>2303199.7999999998</v>
      </c>
      <c r="AD71">
        <v>0.85</v>
      </c>
      <c r="AE71">
        <v>1.05</v>
      </c>
      <c r="AF71">
        <v>0.95</v>
      </c>
      <c r="AG71">
        <v>3.02</v>
      </c>
      <c r="AH71">
        <v>0</v>
      </c>
      <c r="AI71">
        <v>0</v>
      </c>
      <c r="AJ71">
        <v>0</v>
      </c>
      <c r="AK71">
        <v>0</v>
      </c>
      <c r="AL71">
        <v>332494.90999999997</v>
      </c>
      <c r="AM71">
        <v>66850.42</v>
      </c>
      <c r="AN71">
        <v>430944.85</v>
      </c>
      <c r="AO71">
        <v>4411423.67</v>
      </c>
      <c r="AP71">
        <v>1538265.03</v>
      </c>
      <c r="AQ71">
        <v>363762.9</v>
      </c>
      <c r="AR71">
        <v>965824.5</v>
      </c>
      <c r="AS71">
        <v>533245.71</v>
      </c>
      <c r="AT71">
        <v>31.751439999999999</v>
      </c>
      <c r="AU71">
        <v>30.830648239999999</v>
      </c>
      <c r="AV71">
        <v>65842394.841067597</v>
      </c>
      <c r="AW71">
        <v>538737507.07860005</v>
      </c>
      <c r="AX71">
        <v>8.1822283101795001</v>
      </c>
      <c r="AY71">
        <v>2396216.1979999999</v>
      </c>
      <c r="AZ71">
        <v>1.0354413143165899</v>
      </c>
      <c r="BA71">
        <v>2688011.3414634098</v>
      </c>
      <c r="BB71">
        <v>1.16153041558847</v>
      </c>
      <c r="BC71">
        <v>23.977005968953801</v>
      </c>
    </row>
    <row r="72" spans="1:55" x14ac:dyDescent="0.2">
      <c r="A72" t="s">
        <v>195</v>
      </c>
      <c r="B72" t="s">
        <v>196</v>
      </c>
      <c r="C72">
        <v>3015</v>
      </c>
      <c r="D72">
        <v>505</v>
      </c>
      <c r="E72">
        <v>580</v>
      </c>
      <c r="F72">
        <v>300</v>
      </c>
      <c r="G72">
        <v>0</v>
      </c>
      <c r="H72">
        <v>0</v>
      </c>
      <c r="I72">
        <v>4400</v>
      </c>
      <c r="J72">
        <v>86880.31</v>
      </c>
      <c r="K72">
        <v>1120178.21</v>
      </c>
      <c r="L72">
        <v>784124.75</v>
      </c>
      <c r="M72">
        <v>186065.79</v>
      </c>
      <c r="N72">
        <v>573438.61</v>
      </c>
      <c r="O72">
        <v>1539945</v>
      </c>
      <c r="P72">
        <v>221049802</v>
      </c>
      <c r="Q72">
        <v>650499.05000000005</v>
      </c>
      <c r="R72">
        <v>119550.46</v>
      </c>
      <c r="S72">
        <v>828900.18</v>
      </c>
      <c r="T72">
        <v>5370911.3499999996</v>
      </c>
      <c r="U72">
        <v>68</v>
      </c>
      <c r="V72">
        <v>0</v>
      </c>
      <c r="W72">
        <v>0</v>
      </c>
      <c r="X72">
        <v>0</v>
      </c>
      <c r="Y72">
        <v>0</v>
      </c>
      <c r="Z72">
        <v>650499.05000000005</v>
      </c>
      <c r="AA72">
        <v>119550.46</v>
      </c>
      <c r="AB72">
        <v>828900.18</v>
      </c>
      <c r="AC72">
        <v>5370911.3499999996</v>
      </c>
      <c r="AD72">
        <v>1.26</v>
      </c>
      <c r="AE72">
        <v>1.28</v>
      </c>
      <c r="AF72">
        <v>1.27</v>
      </c>
      <c r="AG72">
        <v>2.4</v>
      </c>
      <c r="AH72">
        <v>0</v>
      </c>
      <c r="AI72">
        <v>0</v>
      </c>
      <c r="AJ72">
        <v>0</v>
      </c>
      <c r="AK72">
        <v>0</v>
      </c>
      <c r="AL72">
        <v>650499.05000000005</v>
      </c>
      <c r="AM72">
        <v>119550.46</v>
      </c>
      <c r="AN72">
        <v>828900.18</v>
      </c>
      <c r="AO72">
        <v>5370911.3499999996</v>
      </c>
      <c r="AP72">
        <v>784124.75</v>
      </c>
      <c r="AQ72">
        <v>186065.78999999899</v>
      </c>
      <c r="AR72">
        <v>573438.61</v>
      </c>
      <c r="AS72">
        <v>1539945</v>
      </c>
      <c r="AT72">
        <v>30.844256000000001</v>
      </c>
      <c r="AU72">
        <v>29.949772576000001</v>
      </c>
      <c r="AV72">
        <v>38479467.805644698</v>
      </c>
      <c r="AW72">
        <v>836764130.98881996</v>
      </c>
      <c r="AX72">
        <v>21.745730351968898</v>
      </c>
      <c r="AY72">
        <v>1122493.6051999901</v>
      </c>
      <c r="AZ72">
        <v>1.0020669882518001</v>
      </c>
      <c r="BA72">
        <v>1402312.19512195</v>
      </c>
      <c r="BB72">
        <v>1.2518652680469</v>
      </c>
      <c r="BC72">
        <v>22.613590083798801</v>
      </c>
    </row>
    <row r="73" spans="1:55" x14ac:dyDescent="0.2">
      <c r="A73" t="s">
        <v>197</v>
      </c>
      <c r="B73" t="s">
        <v>198</v>
      </c>
      <c r="C73">
        <v>1200</v>
      </c>
      <c r="D73">
        <v>215</v>
      </c>
      <c r="E73">
        <v>195</v>
      </c>
      <c r="F73">
        <v>0</v>
      </c>
      <c r="G73">
        <v>0</v>
      </c>
      <c r="H73">
        <v>0</v>
      </c>
      <c r="I73">
        <v>1610</v>
      </c>
      <c r="J73">
        <v>35306.35</v>
      </c>
      <c r="K73">
        <v>452227.96</v>
      </c>
      <c r="L73">
        <v>316559.57</v>
      </c>
      <c r="M73">
        <v>74956.38</v>
      </c>
      <c r="N73">
        <v>226487.89</v>
      </c>
      <c r="O73">
        <v>616142.69999999995</v>
      </c>
      <c r="P73">
        <v>0</v>
      </c>
      <c r="Q73">
        <v>0</v>
      </c>
      <c r="R73">
        <v>0</v>
      </c>
      <c r="S73">
        <v>0</v>
      </c>
      <c r="T73">
        <v>0</v>
      </c>
      <c r="U73">
        <v>65</v>
      </c>
      <c r="V73">
        <v>24744.6</v>
      </c>
      <c r="W73">
        <v>7968.6</v>
      </c>
      <c r="X73">
        <v>31315.200000000001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0.13</v>
      </c>
      <c r="AE73">
        <v>7.0000000000000007E-2</v>
      </c>
      <c r="AF73">
        <v>7.0000000000000007E-2</v>
      </c>
      <c r="AG73">
        <v>1.27</v>
      </c>
      <c r="AH73">
        <v>0</v>
      </c>
      <c r="AI73">
        <v>0</v>
      </c>
      <c r="AJ73">
        <v>0</v>
      </c>
      <c r="AK73">
        <v>0</v>
      </c>
      <c r="AL73">
        <v>24744.6</v>
      </c>
      <c r="AM73">
        <v>7968.6</v>
      </c>
      <c r="AN73">
        <v>31315.200000000001</v>
      </c>
      <c r="AO73">
        <v>0</v>
      </c>
      <c r="AP73">
        <v>291814.96999999997</v>
      </c>
      <c r="AQ73">
        <v>66987.78</v>
      </c>
      <c r="AR73">
        <v>195172.69</v>
      </c>
      <c r="AS73">
        <v>616142.69999999995</v>
      </c>
      <c r="AT73">
        <v>29.48348</v>
      </c>
      <c r="AU73">
        <v>28.628459079999999</v>
      </c>
      <c r="AV73">
        <v>14785883.403343</v>
      </c>
      <c r="AW73">
        <v>0</v>
      </c>
      <c r="AY73">
        <v>456158.04199999903</v>
      </c>
      <c r="AZ73">
        <v>1.00869048875261</v>
      </c>
      <c r="BA73">
        <v>542514.63414634101</v>
      </c>
      <c r="BB73">
        <v>1.19964858905747</v>
      </c>
      <c r="BC73">
        <v>23.753861995405298</v>
      </c>
    </row>
    <row r="74" spans="1:55" x14ac:dyDescent="0.2">
      <c r="A74" t="s">
        <v>199</v>
      </c>
      <c r="B74" t="s">
        <v>200</v>
      </c>
      <c r="C74">
        <v>4540</v>
      </c>
      <c r="D74">
        <v>480</v>
      </c>
      <c r="E74">
        <v>1415</v>
      </c>
      <c r="F74">
        <v>1130</v>
      </c>
      <c r="G74">
        <v>835</v>
      </c>
      <c r="H74">
        <v>0</v>
      </c>
      <c r="I74">
        <v>8400</v>
      </c>
      <c r="J74">
        <v>155146.76999999999</v>
      </c>
      <c r="K74">
        <v>1934532.5</v>
      </c>
      <c r="L74">
        <v>1354172.75</v>
      </c>
      <c r="M74">
        <v>320504.93</v>
      </c>
      <c r="N74">
        <v>886788.71</v>
      </c>
      <c r="O74">
        <v>2254194</v>
      </c>
      <c r="P74">
        <v>216982946</v>
      </c>
      <c r="Q74">
        <v>666467.97</v>
      </c>
      <c r="R74">
        <v>60560.1</v>
      </c>
      <c r="S74">
        <v>625137.72</v>
      </c>
      <c r="T74">
        <v>5273891.43</v>
      </c>
      <c r="U74">
        <v>75</v>
      </c>
      <c r="V74">
        <v>0</v>
      </c>
      <c r="W74">
        <v>0</v>
      </c>
      <c r="X74">
        <v>0</v>
      </c>
      <c r="Y74">
        <v>0</v>
      </c>
      <c r="Z74">
        <v>666467.97</v>
      </c>
      <c r="AA74">
        <v>60560.1</v>
      </c>
      <c r="AB74">
        <v>625137.72</v>
      </c>
      <c r="AC74">
        <v>5273891.43</v>
      </c>
      <c r="AD74">
        <v>0.9</v>
      </c>
      <c r="AE74">
        <v>0.45</v>
      </c>
      <c r="AF74">
        <v>0.91</v>
      </c>
      <c r="AG74">
        <v>2.0099999999999998</v>
      </c>
      <c r="AH74">
        <v>139778.79999999999</v>
      </c>
      <c r="AI74">
        <v>39854.050000000003</v>
      </c>
      <c r="AJ74">
        <v>118383.54</v>
      </c>
      <c r="AK74">
        <v>2150952.4300000002</v>
      </c>
      <c r="AL74">
        <v>666467.97</v>
      </c>
      <c r="AM74">
        <v>60560.1</v>
      </c>
      <c r="AN74">
        <v>625137.72</v>
      </c>
      <c r="AO74">
        <v>5273891.43</v>
      </c>
      <c r="AP74">
        <v>1214393.95</v>
      </c>
      <c r="AQ74">
        <v>280650.88</v>
      </c>
      <c r="AR74">
        <v>768405.16999999899</v>
      </c>
      <c r="AS74">
        <v>103241.569999999</v>
      </c>
      <c r="AT74">
        <v>34.019399999999997</v>
      </c>
      <c r="AU74">
        <v>33.032837399999998</v>
      </c>
      <c r="AV74">
        <v>60526067.968019903</v>
      </c>
      <c r="AW74">
        <v>821369413.61785996</v>
      </c>
      <c r="AX74">
        <v>13.5705067451572</v>
      </c>
      <c r="AY74">
        <v>2004496.2683999999</v>
      </c>
      <c r="AZ74">
        <v>1.0361657239669</v>
      </c>
      <c r="BA74">
        <v>2209318.2926829201</v>
      </c>
      <c r="BB74">
        <v>1.14204247934988</v>
      </c>
      <c r="BC74">
        <v>24.797355254950801</v>
      </c>
    </row>
    <row r="75" spans="1:55" x14ac:dyDescent="0.2">
      <c r="A75" t="s">
        <v>201</v>
      </c>
      <c r="B75" t="s">
        <v>202</v>
      </c>
      <c r="C75">
        <v>774</v>
      </c>
      <c r="D75">
        <v>70</v>
      </c>
      <c r="E75">
        <v>165</v>
      </c>
      <c r="F75">
        <v>195</v>
      </c>
      <c r="G75">
        <v>0</v>
      </c>
      <c r="H75">
        <v>0</v>
      </c>
      <c r="I75">
        <v>1204</v>
      </c>
      <c r="J75">
        <v>25005.41</v>
      </c>
      <c r="K75">
        <v>313317.62</v>
      </c>
      <c r="L75">
        <v>219322.33</v>
      </c>
      <c r="M75">
        <v>52649.7</v>
      </c>
      <c r="N75">
        <v>151183.79999999999</v>
      </c>
      <c r="O75">
        <v>381576.96000000002</v>
      </c>
      <c r="P75">
        <v>4395339</v>
      </c>
      <c r="Q75">
        <v>8949.7000000000007</v>
      </c>
      <c r="R75">
        <v>1657.9</v>
      </c>
      <c r="S75">
        <v>37779.480000000003</v>
      </c>
      <c r="T75">
        <v>102334.7</v>
      </c>
      <c r="U75">
        <v>75</v>
      </c>
      <c r="V75">
        <v>0</v>
      </c>
      <c r="W75">
        <v>0</v>
      </c>
      <c r="X75">
        <v>0</v>
      </c>
      <c r="Y75">
        <v>0</v>
      </c>
      <c r="Z75">
        <v>8949.7000000000007</v>
      </c>
      <c r="AA75">
        <v>1657.9</v>
      </c>
      <c r="AB75">
        <v>37779.480000000003</v>
      </c>
      <c r="AC75">
        <v>102334.7</v>
      </c>
      <c r="AD75">
        <v>1.26</v>
      </c>
      <c r="AE75">
        <v>1.67</v>
      </c>
      <c r="AF75">
        <v>7.25</v>
      </c>
      <c r="AG75">
        <v>2.25</v>
      </c>
      <c r="AH75">
        <v>504995.15</v>
      </c>
      <c r="AI75">
        <v>120438.17</v>
      </c>
      <c r="AJ75">
        <v>365540.42</v>
      </c>
      <c r="AK75">
        <v>0</v>
      </c>
      <c r="AL75">
        <v>8949.7000000000007</v>
      </c>
      <c r="AM75">
        <v>1657.9</v>
      </c>
      <c r="AN75">
        <v>37779.480000000003</v>
      </c>
      <c r="AO75">
        <v>102334.7</v>
      </c>
      <c r="AP75">
        <v>-285672.82</v>
      </c>
      <c r="AQ75">
        <v>-67788.47</v>
      </c>
      <c r="AR75">
        <v>-214356.62</v>
      </c>
      <c r="AS75">
        <v>381576.96000000002</v>
      </c>
      <c r="AT75">
        <v>34.019399999999997</v>
      </c>
      <c r="AU75">
        <v>33.032837399999998</v>
      </c>
      <c r="AV75">
        <v>10176095.889443999</v>
      </c>
      <c r="AW75">
        <v>16638160.203989999</v>
      </c>
      <c r="AX75">
        <v>1.63502392123184</v>
      </c>
      <c r="AY75">
        <v>323069.89720000001</v>
      </c>
      <c r="AZ75">
        <v>1.03112584986442</v>
      </c>
      <c r="BA75">
        <v>356133.17073170701</v>
      </c>
      <c r="BB75">
        <v>1.1366522276394999</v>
      </c>
      <c r="BC75">
        <v>25.6279824517548</v>
      </c>
    </row>
    <row r="76" spans="1:55" x14ac:dyDescent="0.2">
      <c r="A76" t="s">
        <v>203</v>
      </c>
      <c r="B76" t="s">
        <v>204</v>
      </c>
      <c r="C76">
        <v>2450</v>
      </c>
      <c r="D76">
        <v>500</v>
      </c>
      <c r="E76">
        <v>2225</v>
      </c>
      <c r="F76">
        <v>2100</v>
      </c>
      <c r="G76">
        <v>850</v>
      </c>
      <c r="H76">
        <v>0</v>
      </c>
      <c r="I76">
        <v>8125</v>
      </c>
      <c r="J76">
        <v>113346.61</v>
      </c>
      <c r="K76">
        <v>1344165.34</v>
      </c>
      <c r="L76">
        <v>940915.74</v>
      </c>
      <c r="M76">
        <v>219442.45</v>
      </c>
      <c r="N76">
        <v>459184.66</v>
      </c>
      <c r="O76">
        <v>1272033</v>
      </c>
      <c r="P76">
        <v>11010000</v>
      </c>
      <c r="Q76">
        <v>41393.629999999997</v>
      </c>
      <c r="R76">
        <v>6556.04</v>
      </c>
      <c r="S76">
        <v>61495.97</v>
      </c>
      <c r="T76">
        <v>278583.21999999997</v>
      </c>
      <c r="U76">
        <v>63</v>
      </c>
      <c r="V76">
        <v>280877.40000000002</v>
      </c>
      <c r="W76">
        <v>79660.800000000003</v>
      </c>
      <c r="X76">
        <v>386694</v>
      </c>
      <c r="Y76">
        <v>0</v>
      </c>
      <c r="Z76">
        <v>41393.629999999997</v>
      </c>
      <c r="AA76">
        <v>6556.04</v>
      </c>
      <c r="AB76">
        <v>61495.97</v>
      </c>
      <c r="AC76">
        <v>278583.21999999997</v>
      </c>
      <c r="AD76">
        <v>0.6</v>
      </c>
      <c r="AE76">
        <v>0.19</v>
      </c>
      <c r="AF76">
        <v>0.49</v>
      </c>
      <c r="AG76">
        <v>0.68</v>
      </c>
      <c r="AH76">
        <v>0</v>
      </c>
      <c r="AI76">
        <v>0</v>
      </c>
      <c r="AJ76">
        <v>0</v>
      </c>
      <c r="AK76">
        <v>0</v>
      </c>
      <c r="AL76">
        <v>322271.03000000003</v>
      </c>
      <c r="AM76">
        <v>86216.84</v>
      </c>
      <c r="AN76">
        <v>448189.97</v>
      </c>
      <c r="AO76">
        <v>278583.21999999997</v>
      </c>
      <c r="AP76">
        <v>660038.34</v>
      </c>
      <c r="AQ76">
        <v>139781.65</v>
      </c>
      <c r="AR76">
        <v>72490.66</v>
      </c>
      <c r="AS76">
        <v>1272033</v>
      </c>
      <c r="AT76">
        <v>28.576295999999999</v>
      </c>
      <c r="AU76">
        <v>27.747583415999902</v>
      </c>
      <c r="AV76">
        <v>29877210.443177901</v>
      </c>
      <c r="AW76">
        <v>41677364.100000001</v>
      </c>
      <c r="AX76">
        <v>1.3949550002087401</v>
      </c>
      <c r="AY76">
        <v>1464438.2012</v>
      </c>
      <c r="AZ76">
        <v>1.0894777283871899</v>
      </c>
      <c r="BA76">
        <v>1692131.0975609701</v>
      </c>
      <c r="BB76">
        <v>1.2588712468668199</v>
      </c>
      <c r="BC76">
        <v>23.4027999999999</v>
      </c>
    </row>
    <row r="77" spans="1:55" x14ac:dyDescent="0.2">
      <c r="A77" t="s">
        <v>205</v>
      </c>
      <c r="B77" t="s">
        <v>206</v>
      </c>
      <c r="C77">
        <v>2536</v>
      </c>
      <c r="D77">
        <v>254</v>
      </c>
      <c r="E77">
        <v>722</v>
      </c>
      <c r="F77">
        <v>545</v>
      </c>
      <c r="G77">
        <v>525</v>
      </c>
      <c r="H77">
        <v>0</v>
      </c>
      <c r="I77">
        <v>4582</v>
      </c>
      <c r="J77">
        <v>85110.55</v>
      </c>
      <c r="K77">
        <v>1066315.1100000001</v>
      </c>
      <c r="L77">
        <v>746420.58</v>
      </c>
      <c r="M77">
        <v>176412.15</v>
      </c>
      <c r="N77">
        <v>495351.58</v>
      </c>
      <c r="O77">
        <v>1255914.3600000001</v>
      </c>
      <c r="P77">
        <v>51221877</v>
      </c>
      <c r="Q77">
        <v>141741.04999999999</v>
      </c>
      <c r="R77">
        <v>17676.23</v>
      </c>
      <c r="S77">
        <v>143897.46</v>
      </c>
      <c r="T77">
        <v>1196409.18</v>
      </c>
      <c r="U77">
        <v>75</v>
      </c>
      <c r="V77">
        <v>64137.5</v>
      </c>
      <c r="W77">
        <v>15136.45</v>
      </c>
      <c r="X77">
        <v>81582.899999999994</v>
      </c>
      <c r="Y77">
        <v>0</v>
      </c>
      <c r="Z77">
        <v>141741.04999999999</v>
      </c>
      <c r="AA77">
        <v>17676.23</v>
      </c>
      <c r="AB77">
        <v>143897.46</v>
      </c>
      <c r="AC77">
        <v>1196409.18</v>
      </c>
      <c r="AD77">
        <v>1.2</v>
      </c>
      <c r="AE77">
        <v>0.89</v>
      </c>
      <c r="AF77">
        <v>1.49</v>
      </c>
      <c r="AG77">
        <v>4.95</v>
      </c>
      <c r="AH77">
        <v>218675.56</v>
      </c>
      <c r="AI77">
        <v>75995.490000000005</v>
      </c>
      <c r="AJ77">
        <v>154050.71</v>
      </c>
      <c r="AK77">
        <v>168846.55</v>
      </c>
      <c r="AL77">
        <v>205878.55</v>
      </c>
      <c r="AM77">
        <v>32812.68</v>
      </c>
      <c r="AN77">
        <v>225480.36</v>
      </c>
      <c r="AO77">
        <v>1196409.18</v>
      </c>
      <c r="AP77">
        <v>463607.51999999897</v>
      </c>
      <c r="AQ77">
        <v>85280.21</v>
      </c>
      <c r="AR77">
        <v>259717.97</v>
      </c>
      <c r="AS77">
        <v>1087067.81</v>
      </c>
      <c r="AT77">
        <v>34.019399999999997</v>
      </c>
      <c r="AU77">
        <v>33.032837399999998</v>
      </c>
      <c r="AV77">
        <v>33638989.966289997</v>
      </c>
      <c r="AW77">
        <v>193895805.41457</v>
      </c>
      <c r="AX77">
        <v>5.7640198355799299</v>
      </c>
      <c r="AY77">
        <v>1099628.3060000001</v>
      </c>
      <c r="AZ77">
        <v>1.0312414179331999</v>
      </c>
      <c r="BA77">
        <v>1210909.75609756</v>
      </c>
      <c r="BB77">
        <v>1.1356021730739201</v>
      </c>
      <c r="BC77">
        <v>24.701157712182301</v>
      </c>
    </row>
    <row r="78" spans="1:55" x14ac:dyDescent="0.2">
      <c r="A78" t="s">
        <v>207</v>
      </c>
      <c r="B78" t="s">
        <v>208</v>
      </c>
      <c r="C78">
        <v>2515</v>
      </c>
      <c r="D78">
        <v>270</v>
      </c>
      <c r="E78">
        <v>925</v>
      </c>
      <c r="F78">
        <v>350</v>
      </c>
      <c r="G78">
        <v>0</v>
      </c>
      <c r="H78">
        <v>0</v>
      </c>
      <c r="I78">
        <v>4060</v>
      </c>
      <c r="J78">
        <v>81069.289999999994</v>
      </c>
      <c r="K78">
        <v>1008791.38</v>
      </c>
      <c r="L78">
        <v>706153.97</v>
      </c>
      <c r="M78">
        <v>168819.12</v>
      </c>
      <c r="N78">
        <v>479651.52</v>
      </c>
      <c r="O78">
        <v>1249688.7</v>
      </c>
      <c r="P78">
        <v>52860576</v>
      </c>
      <c r="Q78">
        <v>200767.52</v>
      </c>
      <c r="R78">
        <v>38378.31</v>
      </c>
      <c r="S78">
        <v>190211.09</v>
      </c>
      <c r="T78">
        <v>1158406.02</v>
      </c>
      <c r="U78">
        <v>68</v>
      </c>
      <c r="V78">
        <v>33762.959999999999</v>
      </c>
      <c r="W78">
        <v>14946.9</v>
      </c>
      <c r="X78">
        <v>76695.509999999995</v>
      </c>
      <c r="Y78">
        <v>278799.09999999998</v>
      </c>
      <c r="Z78">
        <v>200767.52</v>
      </c>
      <c r="AA78">
        <v>38378.31</v>
      </c>
      <c r="AB78">
        <v>190211.09</v>
      </c>
      <c r="AC78">
        <v>1158406.02</v>
      </c>
      <c r="AD78">
        <v>1</v>
      </c>
      <c r="AE78">
        <v>1.24</v>
      </c>
      <c r="AF78">
        <v>0.8</v>
      </c>
      <c r="AG78">
        <v>1.93</v>
      </c>
      <c r="AH78">
        <v>159846.64000000001</v>
      </c>
      <c r="AI78">
        <v>48270.52</v>
      </c>
      <c r="AJ78">
        <v>264300.88</v>
      </c>
      <c r="AK78">
        <v>910018</v>
      </c>
      <c r="AL78">
        <v>234530.47999999899</v>
      </c>
      <c r="AM78">
        <v>53325.21</v>
      </c>
      <c r="AN78">
        <v>266906.59999999998</v>
      </c>
      <c r="AO78">
        <v>1437205.12</v>
      </c>
      <c r="AP78">
        <v>512544.37</v>
      </c>
      <c r="AQ78">
        <v>105601.7</v>
      </c>
      <c r="AR78">
        <v>138655.13</v>
      </c>
      <c r="AS78">
        <v>60871.599999999598</v>
      </c>
      <c r="AT78">
        <v>30.844256000000001</v>
      </c>
      <c r="AU78">
        <v>29.949772576000001</v>
      </c>
      <c r="AV78">
        <v>30444692.5678184</v>
      </c>
      <c r="AW78">
        <v>200098952.99616</v>
      </c>
      <c r="AX78">
        <v>6.5725397801413399</v>
      </c>
      <c r="AY78">
        <v>1047415.2267999999</v>
      </c>
      <c r="AZ78">
        <v>1.0382872490444901</v>
      </c>
      <c r="BA78">
        <v>1186784.1463414601</v>
      </c>
      <c r="BB78">
        <v>1.1764416011776999</v>
      </c>
      <c r="BC78">
        <v>24.933169979746399</v>
      </c>
    </row>
    <row r="79" spans="1:55" x14ac:dyDescent="0.2">
      <c r="A79" t="s">
        <v>209</v>
      </c>
      <c r="B79" t="s">
        <v>210</v>
      </c>
      <c r="C79">
        <v>4665</v>
      </c>
      <c r="D79">
        <v>605</v>
      </c>
      <c r="E79">
        <v>355</v>
      </c>
      <c r="F79">
        <v>860</v>
      </c>
      <c r="G79">
        <v>375</v>
      </c>
      <c r="H79">
        <v>0</v>
      </c>
      <c r="I79">
        <v>6860</v>
      </c>
      <c r="J79">
        <v>144948.92000000001</v>
      </c>
      <c r="K79">
        <v>1850273.34</v>
      </c>
      <c r="L79">
        <v>1295191.3400000001</v>
      </c>
      <c r="M79">
        <v>307732.84000000003</v>
      </c>
      <c r="N79">
        <v>911204.7</v>
      </c>
      <c r="O79">
        <v>2342034</v>
      </c>
      <c r="P79">
        <v>136286895</v>
      </c>
      <c r="Q79">
        <v>468247.49</v>
      </c>
      <c r="R79">
        <v>37190.620000000003</v>
      </c>
      <c r="S79">
        <v>633402.13</v>
      </c>
      <c r="T79">
        <v>4025864.73</v>
      </c>
      <c r="U79">
        <v>75</v>
      </c>
      <c r="V79">
        <v>116299.42</v>
      </c>
      <c r="W79">
        <v>43150.36</v>
      </c>
      <c r="X79">
        <v>127781.44</v>
      </c>
      <c r="Y79">
        <v>1355157.9</v>
      </c>
      <c r="Z79">
        <v>468247.49</v>
      </c>
      <c r="AA79">
        <v>37190.620000000003</v>
      </c>
      <c r="AB79">
        <v>633402.13</v>
      </c>
      <c r="AC79">
        <v>4025864.73</v>
      </c>
      <c r="AD79">
        <v>1.17</v>
      </c>
      <c r="AE79">
        <v>0.68</v>
      </c>
      <c r="AF79">
        <v>1.28</v>
      </c>
      <c r="AG79">
        <v>2.74</v>
      </c>
      <c r="AH79">
        <v>0</v>
      </c>
      <c r="AI79">
        <v>0</v>
      </c>
      <c r="AJ79">
        <v>0</v>
      </c>
      <c r="AK79">
        <v>0</v>
      </c>
      <c r="AL79">
        <v>584546.91</v>
      </c>
      <c r="AM79">
        <v>80340.98</v>
      </c>
      <c r="AN79">
        <v>761183.57</v>
      </c>
      <c r="AO79">
        <v>5381022.6299999999</v>
      </c>
      <c r="AP79">
        <v>1178891.92</v>
      </c>
      <c r="AQ79">
        <v>264582.48</v>
      </c>
      <c r="AR79">
        <v>783423.26</v>
      </c>
      <c r="AS79">
        <v>986876.1</v>
      </c>
      <c r="AT79">
        <v>34.019399999999997</v>
      </c>
      <c r="AU79">
        <v>33.032837399999998</v>
      </c>
      <c r="AV79">
        <v>63540314.380769998</v>
      </c>
      <c r="AW79">
        <v>515901775.20195001</v>
      </c>
      <c r="AX79">
        <v>8.1192826983884707</v>
      </c>
      <c r="AY79">
        <v>1872740.0464000001</v>
      </c>
      <c r="AZ79">
        <v>1.0121423715698099</v>
      </c>
      <c r="BA79">
        <v>2102489.0243902402</v>
      </c>
      <c r="BB79">
        <v>1.1363126619930799</v>
      </c>
      <c r="BC79">
        <v>24.770363954651501</v>
      </c>
    </row>
    <row r="80" spans="1:55" x14ac:dyDescent="0.2">
      <c r="A80" t="s">
        <v>177</v>
      </c>
      <c r="B80" t="s">
        <v>211</v>
      </c>
      <c r="C80">
        <v>585</v>
      </c>
      <c r="D80">
        <v>75</v>
      </c>
      <c r="E80">
        <v>256</v>
      </c>
      <c r="F80">
        <v>285</v>
      </c>
      <c r="G80">
        <v>104</v>
      </c>
      <c r="H80">
        <v>156</v>
      </c>
      <c r="I80">
        <v>1461</v>
      </c>
      <c r="J80">
        <v>22245.98</v>
      </c>
      <c r="K80">
        <v>275263.84999999998</v>
      </c>
      <c r="L80">
        <v>192684.7</v>
      </c>
      <c r="M80">
        <v>44772.08</v>
      </c>
      <c r="N80">
        <v>112339.84</v>
      </c>
      <c r="O80">
        <v>293495.40000000002</v>
      </c>
      <c r="P80">
        <v>13084000</v>
      </c>
      <c r="Q80">
        <v>22011.9</v>
      </c>
      <c r="R80">
        <v>143.31</v>
      </c>
      <c r="S80">
        <v>18934.34</v>
      </c>
      <c r="T80">
        <v>813009.42</v>
      </c>
      <c r="U80">
        <v>70</v>
      </c>
      <c r="V80">
        <v>0</v>
      </c>
      <c r="W80">
        <v>0</v>
      </c>
      <c r="X80">
        <v>0</v>
      </c>
      <c r="Y80">
        <v>0</v>
      </c>
      <c r="Z80">
        <v>22011.9</v>
      </c>
      <c r="AA80">
        <v>143.31</v>
      </c>
      <c r="AB80">
        <v>18934.34</v>
      </c>
      <c r="AC80">
        <v>813009.42</v>
      </c>
      <c r="AD80">
        <v>0.85</v>
      </c>
      <c r="AE80">
        <v>4.5599999999999996</v>
      </c>
      <c r="AF80">
        <v>0.67</v>
      </c>
      <c r="AG80">
        <v>4.2699999999999996</v>
      </c>
      <c r="AH80">
        <v>166320</v>
      </c>
      <c r="AI80">
        <v>34560</v>
      </c>
      <c r="AJ80">
        <v>146880</v>
      </c>
      <c r="AK80">
        <v>979302.96</v>
      </c>
      <c r="AL80">
        <v>22011.9</v>
      </c>
      <c r="AM80">
        <v>143.31</v>
      </c>
      <c r="AN80">
        <v>18934.34</v>
      </c>
      <c r="AO80">
        <v>813009.42</v>
      </c>
      <c r="AP80">
        <v>26364.7</v>
      </c>
      <c r="AQ80">
        <v>10212.08</v>
      </c>
      <c r="AR80">
        <v>-34540.160000000003</v>
      </c>
      <c r="AS80">
        <v>-685807.55999999901</v>
      </c>
      <c r="AT80">
        <v>31.751439999999999</v>
      </c>
      <c r="AU80">
        <v>30.830648239999999</v>
      </c>
      <c r="AV80">
        <v>7427103.1610159902</v>
      </c>
      <c r="AW80">
        <v>49528304.439999998</v>
      </c>
      <c r="AX80">
        <v>6.6685898076612498</v>
      </c>
      <c r="AY80">
        <v>287418.06160000002</v>
      </c>
      <c r="AZ80">
        <v>1.0441547685974699</v>
      </c>
      <c r="BA80">
        <v>324716.463414634</v>
      </c>
      <c r="BB80">
        <v>1.1796553140364501</v>
      </c>
      <c r="BC80">
        <v>23.341911196417101</v>
      </c>
    </row>
    <row r="81" spans="1:55" x14ac:dyDescent="0.2">
      <c r="A81" t="s">
        <v>212</v>
      </c>
      <c r="B81" t="s">
        <v>213</v>
      </c>
      <c r="C81">
        <v>329</v>
      </c>
      <c r="D81">
        <v>50</v>
      </c>
      <c r="E81">
        <v>150</v>
      </c>
      <c r="F81">
        <v>150</v>
      </c>
      <c r="G81">
        <v>50</v>
      </c>
      <c r="H81">
        <v>30</v>
      </c>
      <c r="I81">
        <v>759</v>
      </c>
      <c r="J81">
        <v>12397.3</v>
      </c>
      <c r="K81">
        <v>151252.57999999999</v>
      </c>
      <c r="L81">
        <v>105876.81</v>
      </c>
      <c r="M81">
        <v>24836.799999999999</v>
      </c>
      <c r="N81">
        <v>62718.98</v>
      </c>
      <c r="O81">
        <v>166863.06</v>
      </c>
      <c r="P81">
        <v>42773000</v>
      </c>
      <c r="Q81">
        <v>116606.05</v>
      </c>
      <c r="R81">
        <v>9443.48</v>
      </c>
      <c r="S81">
        <v>64382.7</v>
      </c>
      <c r="T81">
        <v>407885.8</v>
      </c>
      <c r="U81">
        <v>67</v>
      </c>
      <c r="V81">
        <v>89678</v>
      </c>
      <c r="W81">
        <v>45315.7</v>
      </c>
      <c r="X81">
        <v>226802.6</v>
      </c>
      <c r="Y81">
        <v>4793766.3499999996</v>
      </c>
      <c r="Z81">
        <v>116606.05</v>
      </c>
      <c r="AA81">
        <v>9443.48</v>
      </c>
      <c r="AB81">
        <v>64382.7</v>
      </c>
      <c r="AC81">
        <v>407885.8</v>
      </c>
      <c r="AD81">
        <v>1.1399999999999999</v>
      </c>
      <c r="AE81">
        <v>1.55</v>
      </c>
      <c r="AF81">
        <v>1.7</v>
      </c>
      <c r="AG81">
        <v>5.76</v>
      </c>
      <c r="AH81">
        <v>0</v>
      </c>
      <c r="AI81">
        <v>0</v>
      </c>
      <c r="AJ81">
        <v>0</v>
      </c>
      <c r="AK81">
        <v>0</v>
      </c>
      <c r="AL81">
        <v>206284.05</v>
      </c>
      <c r="AM81">
        <v>54759.179999999898</v>
      </c>
      <c r="AN81">
        <v>291185.3</v>
      </c>
      <c r="AO81">
        <v>5201652.1499999901</v>
      </c>
      <c r="AP81">
        <v>16198.809999999899</v>
      </c>
      <c r="AQ81">
        <v>-20478.8999999999</v>
      </c>
      <c r="AR81">
        <v>-164083.62</v>
      </c>
      <c r="AS81">
        <v>-4626903.2899999898</v>
      </c>
      <c r="AT81">
        <v>30.390664000000001</v>
      </c>
      <c r="AU81">
        <v>29.509334744</v>
      </c>
      <c r="AV81">
        <v>4082173.8218112299</v>
      </c>
      <c r="AW81">
        <v>161913341.93000001</v>
      </c>
      <c r="AX81">
        <v>39.663509933087497</v>
      </c>
      <c r="AY81">
        <v>160173.11599999899</v>
      </c>
      <c r="AZ81">
        <v>1.05897774437963</v>
      </c>
      <c r="BA81">
        <v>181956.951219512</v>
      </c>
      <c r="BB81">
        <v>1.2030006444816399</v>
      </c>
      <c r="BC81">
        <v>23.931884740336098</v>
      </c>
    </row>
    <row r="82" spans="1:55" x14ac:dyDescent="0.2">
      <c r="A82" t="s">
        <v>214</v>
      </c>
      <c r="B82" t="s">
        <v>215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26.31</v>
      </c>
      <c r="K82">
        <v>343.99</v>
      </c>
      <c r="L82">
        <v>240.79</v>
      </c>
      <c r="M82">
        <v>58.35</v>
      </c>
      <c r="N82">
        <v>195.33</v>
      </c>
      <c r="O82">
        <v>472.14</v>
      </c>
      <c r="P82">
        <v>66484437</v>
      </c>
      <c r="Q82">
        <v>94838</v>
      </c>
      <c r="R82">
        <v>10066.02</v>
      </c>
      <c r="S82">
        <v>109383.61</v>
      </c>
      <c r="T82">
        <v>634371.49</v>
      </c>
      <c r="U82">
        <v>75</v>
      </c>
      <c r="V82">
        <v>0</v>
      </c>
      <c r="W82">
        <v>0</v>
      </c>
      <c r="X82">
        <v>0</v>
      </c>
      <c r="Y82">
        <v>0</v>
      </c>
      <c r="Z82">
        <v>94838</v>
      </c>
      <c r="AA82">
        <v>10066.02</v>
      </c>
      <c r="AB82">
        <v>109383.61</v>
      </c>
      <c r="AC82">
        <v>634371.49</v>
      </c>
      <c r="AD82">
        <v>1.25</v>
      </c>
      <c r="AE82">
        <v>0.68</v>
      </c>
      <c r="AF82">
        <v>1.5</v>
      </c>
      <c r="AG82">
        <v>1.93</v>
      </c>
      <c r="AH82">
        <v>0</v>
      </c>
      <c r="AI82">
        <v>0</v>
      </c>
      <c r="AJ82">
        <v>0</v>
      </c>
      <c r="AK82">
        <v>0</v>
      </c>
      <c r="AL82">
        <v>94838</v>
      </c>
      <c r="AM82">
        <v>10066.02</v>
      </c>
      <c r="AN82">
        <v>109383.61</v>
      </c>
      <c r="AO82">
        <v>634371.49</v>
      </c>
      <c r="AP82">
        <v>240.789999999993</v>
      </c>
      <c r="AQ82">
        <v>58.3500000000003</v>
      </c>
      <c r="AR82">
        <v>195.33000000000101</v>
      </c>
      <c r="AS82">
        <v>472.140000000013</v>
      </c>
      <c r="AT82">
        <v>34.019399999999997</v>
      </c>
      <c r="AU82">
        <v>33.032837399999998</v>
      </c>
      <c r="AV82">
        <v>12056.985650999901</v>
      </c>
      <c r="AW82">
        <v>251670852.66417</v>
      </c>
      <c r="AX82">
        <v>20873.447140852801</v>
      </c>
      <c r="AY82">
        <v>339.92519999999899</v>
      </c>
      <c r="AZ82">
        <v>0.98818337742376205</v>
      </c>
      <c r="BA82">
        <v>365</v>
      </c>
      <c r="BB82">
        <v>1.0610773568999099</v>
      </c>
      <c r="BC82">
        <v>26.31</v>
      </c>
    </row>
    <row r="83" spans="1:55" x14ac:dyDescent="0.2">
      <c r="A83" t="s">
        <v>216</v>
      </c>
      <c r="B83" t="s">
        <v>217</v>
      </c>
      <c r="C83">
        <v>355</v>
      </c>
      <c r="D83">
        <v>20</v>
      </c>
      <c r="E83">
        <v>15</v>
      </c>
      <c r="F83">
        <v>25</v>
      </c>
      <c r="G83">
        <v>0</v>
      </c>
      <c r="H83">
        <v>0</v>
      </c>
      <c r="I83">
        <v>415</v>
      </c>
      <c r="J83">
        <v>9805.74</v>
      </c>
      <c r="K83">
        <v>126852.53</v>
      </c>
      <c r="L83">
        <v>88796.77</v>
      </c>
      <c r="M83">
        <v>21338.63</v>
      </c>
      <c r="N83">
        <v>68172.039999999994</v>
      </c>
      <c r="O83">
        <v>172221.3</v>
      </c>
      <c r="P83">
        <v>15336000</v>
      </c>
      <c r="Q83">
        <v>42451.33</v>
      </c>
      <c r="R83">
        <v>8161.27</v>
      </c>
      <c r="S83">
        <v>43116.28</v>
      </c>
      <c r="T83">
        <v>240816.67</v>
      </c>
      <c r="U83">
        <v>70</v>
      </c>
      <c r="V83">
        <v>24505.37</v>
      </c>
      <c r="W83">
        <v>4268.03</v>
      </c>
      <c r="X83">
        <v>6329.3</v>
      </c>
      <c r="Y83">
        <v>135135</v>
      </c>
      <c r="Z83">
        <v>42451.33</v>
      </c>
      <c r="AA83">
        <v>8161.27</v>
      </c>
      <c r="AB83">
        <v>43116.28</v>
      </c>
      <c r="AC83">
        <v>240816.67</v>
      </c>
      <c r="AD83">
        <v>1.23</v>
      </c>
      <c r="AE83">
        <v>0.77</v>
      </c>
      <c r="AF83">
        <v>0.52</v>
      </c>
      <c r="AG83">
        <v>1.88</v>
      </c>
      <c r="AH83">
        <v>9577.7999999999993</v>
      </c>
      <c r="AI83">
        <v>3443</v>
      </c>
      <c r="AJ83">
        <v>12457.4</v>
      </c>
      <c r="AK83">
        <v>0</v>
      </c>
      <c r="AL83">
        <v>66956.7</v>
      </c>
      <c r="AM83">
        <v>12429.3</v>
      </c>
      <c r="AN83">
        <v>49445.58</v>
      </c>
      <c r="AO83">
        <v>375951.67</v>
      </c>
      <c r="AP83">
        <v>54713.599999999999</v>
      </c>
      <c r="AQ83">
        <v>13627.6</v>
      </c>
      <c r="AR83">
        <v>49385.339999999902</v>
      </c>
      <c r="AS83">
        <v>37086.299999999901</v>
      </c>
      <c r="AT83">
        <v>31.751439999999999</v>
      </c>
      <c r="AU83">
        <v>30.830648239999999</v>
      </c>
      <c r="AV83">
        <v>4219944.9778500004</v>
      </c>
      <c r="AW83">
        <v>58053047.759999998</v>
      </c>
      <c r="AX83">
        <v>13.756825755954999</v>
      </c>
      <c r="AY83">
        <v>126690.1608</v>
      </c>
      <c r="AZ83">
        <v>0.99872001606905203</v>
      </c>
      <c r="BA83">
        <v>142216.463414634</v>
      </c>
      <c r="BB83">
        <v>1.12111649184004</v>
      </c>
      <c r="BC83">
        <v>25.166531455398999</v>
      </c>
    </row>
    <row r="84" spans="1:55" x14ac:dyDescent="0.2">
      <c r="A84" t="s">
        <v>218</v>
      </c>
      <c r="B84" t="s">
        <v>219</v>
      </c>
      <c r="C84">
        <v>971</v>
      </c>
      <c r="D84">
        <v>140</v>
      </c>
      <c r="E84">
        <v>0</v>
      </c>
      <c r="F84">
        <v>0</v>
      </c>
      <c r="G84">
        <v>0</v>
      </c>
      <c r="H84">
        <v>0</v>
      </c>
      <c r="I84">
        <v>1111</v>
      </c>
      <c r="J84">
        <v>26480.27</v>
      </c>
      <c r="K84">
        <v>344696.07</v>
      </c>
      <c r="L84">
        <v>241287.25</v>
      </c>
      <c r="M84">
        <v>57290.59</v>
      </c>
      <c r="N84">
        <v>183266.45</v>
      </c>
      <c r="O84">
        <v>490729.14</v>
      </c>
      <c r="P84">
        <v>2583000</v>
      </c>
      <c r="Q84">
        <v>56800.06</v>
      </c>
      <c r="R84">
        <v>28121.919999999998</v>
      </c>
      <c r="S84">
        <v>57099.199999999997</v>
      </c>
      <c r="T84">
        <v>113265.22</v>
      </c>
      <c r="U84">
        <v>65</v>
      </c>
      <c r="V84">
        <v>0</v>
      </c>
      <c r="W84">
        <v>0</v>
      </c>
      <c r="X84">
        <v>0</v>
      </c>
      <c r="Y84">
        <v>0</v>
      </c>
      <c r="Z84">
        <v>56800.06</v>
      </c>
      <c r="AA84">
        <v>28121.919999999998</v>
      </c>
      <c r="AB84">
        <v>57099.199999999997</v>
      </c>
      <c r="AC84">
        <v>113265.22</v>
      </c>
      <c r="AD84">
        <v>1.29</v>
      </c>
      <c r="AE84">
        <v>1.19</v>
      </c>
      <c r="AF84">
        <v>0.78</v>
      </c>
      <c r="AG84">
        <v>0.68</v>
      </c>
      <c r="AH84">
        <v>0</v>
      </c>
      <c r="AI84">
        <v>0</v>
      </c>
      <c r="AJ84">
        <v>0</v>
      </c>
      <c r="AK84">
        <v>0</v>
      </c>
      <c r="AL84">
        <v>56800.06</v>
      </c>
      <c r="AM84">
        <v>28121.919999999998</v>
      </c>
      <c r="AN84">
        <v>57099.199999999997</v>
      </c>
      <c r="AO84">
        <v>113265.22</v>
      </c>
      <c r="AP84">
        <v>241287.25</v>
      </c>
      <c r="AQ84">
        <v>57290.59</v>
      </c>
      <c r="AR84">
        <v>183266.45</v>
      </c>
      <c r="AS84">
        <v>490729.14</v>
      </c>
      <c r="AT84">
        <v>29.48348</v>
      </c>
      <c r="AU84">
        <v>28.628459079999999</v>
      </c>
      <c r="AV84">
        <v>11609269.583826199</v>
      </c>
      <c r="AW84">
        <v>9777714.0299999993</v>
      </c>
      <c r="AX84">
        <v>0.84223335149543899</v>
      </c>
      <c r="AY84">
        <v>342125.08840000001</v>
      </c>
      <c r="AZ84">
        <v>0.99254130863749002</v>
      </c>
      <c r="BA84">
        <v>405515</v>
      </c>
      <c r="BB84">
        <v>1.1764421915225201</v>
      </c>
      <c r="BC84">
        <v>23.834626462646199</v>
      </c>
    </row>
    <row r="85" spans="1:55" x14ac:dyDescent="0.2">
      <c r="A85" t="s">
        <v>220</v>
      </c>
      <c r="B85" t="s">
        <v>221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1</v>
      </c>
      <c r="L85">
        <v>0.7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0.7</v>
      </c>
      <c r="AQ85">
        <v>1</v>
      </c>
      <c r="AR85">
        <v>1</v>
      </c>
      <c r="AS85">
        <v>0</v>
      </c>
      <c r="AT85">
        <v>0.453592</v>
      </c>
      <c r="AU85">
        <v>0.44043783199999997</v>
      </c>
      <c r="AV85">
        <v>0</v>
      </c>
      <c r="AW85">
        <v>0</v>
      </c>
    </row>
    <row r="86" spans="1:55" x14ac:dyDescent="0.2">
      <c r="A86" t="s">
        <v>222</v>
      </c>
      <c r="B86" t="s">
        <v>223</v>
      </c>
      <c r="C86">
        <v>800</v>
      </c>
      <c r="D86">
        <v>80</v>
      </c>
      <c r="E86">
        <v>150</v>
      </c>
      <c r="F86">
        <v>100</v>
      </c>
      <c r="G86">
        <v>140</v>
      </c>
      <c r="H86">
        <v>140</v>
      </c>
      <c r="I86">
        <v>1410</v>
      </c>
      <c r="J86">
        <v>24224.9</v>
      </c>
      <c r="K86">
        <v>309507.05</v>
      </c>
      <c r="L86">
        <v>216654.94</v>
      </c>
      <c r="M86">
        <v>50256.4</v>
      </c>
      <c r="N86">
        <v>148356.73000000001</v>
      </c>
      <c r="O86">
        <v>396158.4</v>
      </c>
      <c r="P86">
        <v>16428000</v>
      </c>
      <c r="Q86">
        <v>47692.58</v>
      </c>
      <c r="R86">
        <v>5729.71</v>
      </c>
      <c r="S86">
        <v>35367.86</v>
      </c>
      <c r="T86">
        <v>210836.71</v>
      </c>
      <c r="U86">
        <v>60</v>
      </c>
      <c r="V86">
        <v>63752.38</v>
      </c>
      <c r="W86">
        <v>18356.86</v>
      </c>
      <c r="X86">
        <v>64264.07</v>
      </c>
      <c r="Y86">
        <v>662112</v>
      </c>
      <c r="Z86">
        <v>47692.58</v>
      </c>
      <c r="AA86">
        <v>5729.71</v>
      </c>
      <c r="AB86">
        <v>35367.86</v>
      </c>
      <c r="AC86">
        <v>210836.71</v>
      </c>
      <c r="AD86">
        <v>0.5</v>
      </c>
      <c r="AE86">
        <v>0.7</v>
      </c>
      <c r="AF86">
        <v>0.41</v>
      </c>
      <c r="AG86">
        <v>1.6</v>
      </c>
      <c r="AH86">
        <v>101093.34</v>
      </c>
      <c r="AI86">
        <v>30182.59</v>
      </c>
      <c r="AJ86">
        <v>105260.67</v>
      </c>
      <c r="AK86">
        <v>1068672</v>
      </c>
      <c r="AL86">
        <v>111444.959999999</v>
      </c>
      <c r="AM86">
        <v>24086.57</v>
      </c>
      <c r="AN86">
        <v>99631.93</v>
      </c>
      <c r="AO86">
        <v>872948.71</v>
      </c>
      <c r="AP86">
        <v>51809.22</v>
      </c>
      <c r="AQ86">
        <v>1716.95</v>
      </c>
      <c r="AR86">
        <v>-21168.0099999999</v>
      </c>
      <c r="AS86">
        <v>-1334625.6000000001</v>
      </c>
      <c r="AT86">
        <v>27.215519999999898</v>
      </c>
      <c r="AU86">
        <v>26.4262699199999</v>
      </c>
      <c r="AV86">
        <v>8488117.8983039893</v>
      </c>
      <c r="AW86">
        <v>62186715.479999997</v>
      </c>
      <c r="AX86">
        <v>7.3263256030439203</v>
      </c>
      <c r="AY86">
        <v>312985.70799999998</v>
      </c>
      <c r="AZ86">
        <v>1.0112393497983301</v>
      </c>
      <c r="BA86">
        <v>367047.560975609</v>
      </c>
      <c r="BB86">
        <v>1.1859101787038699</v>
      </c>
      <c r="BC86">
        <v>22.557821939586599</v>
      </c>
    </row>
    <row r="87" spans="1:55" x14ac:dyDescent="0.2">
      <c r="A87" t="s">
        <v>224</v>
      </c>
      <c r="B87" t="s">
        <v>225</v>
      </c>
      <c r="C87">
        <v>510</v>
      </c>
      <c r="D87">
        <v>78</v>
      </c>
      <c r="E87">
        <v>110</v>
      </c>
      <c r="F87">
        <v>180</v>
      </c>
      <c r="G87">
        <v>60</v>
      </c>
      <c r="H87">
        <v>0</v>
      </c>
      <c r="I87">
        <v>938</v>
      </c>
      <c r="J87">
        <v>17663</v>
      </c>
      <c r="K87">
        <v>220380.86</v>
      </c>
      <c r="L87">
        <v>154266.6</v>
      </c>
      <c r="M87">
        <v>36529.199999999997</v>
      </c>
      <c r="N87">
        <v>99617.23</v>
      </c>
      <c r="O87">
        <v>258776.64</v>
      </c>
      <c r="P87">
        <v>26226413</v>
      </c>
      <c r="Q87">
        <v>91919.14</v>
      </c>
      <c r="R87">
        <v>20703.63</v>
      </c>
      <c r="S87">
        <v>150368.29</v>
      </c>
      <c r="T87">
        <v>672626.48</v>
      </c>
      <c r="U87">
        <v>75</v>
      </c>
      <c r="V87">
        <v>10737.25</v>
      </c>
      <c r="W87">
        <v>4209.93</v>
      </c>
      <c r="X87">
        <v>10196.52</v>
      </c>
      <c r="Y87">
        <v>141747.14000000001</v>
      </c>
      <c r="Z87">
        <v>91919.14</v>
      </c>
      <c r="AA87">
        <v>20703.63</v>
      </c>
      <c r="AB87">
        <v>150368.29</v>
      </c>
      <c r="AC87">
        <v>672626.48</v>
      </c>
      <c r="AD87">
        <v>1.34</v>
      </c>
      <c r="AE87">
        <v>1.18</v>
      </c>
      <c r="AF87">
        <v>1.98</v>
      </c>
      <c r="AG87">
        <v>3.6</v>
      </c>
      <c r="AH87">
        <v>0</v>
      </c>
      <c r="AI87">
        <v>0</v>
      </c>
      <c r="AJ87">
        <v>0</v>
      </c>
      <c r="AK87">
        <v>0</v>
      </c>
      <c r="AL87">
        <v>102656.39</v>
      </c>
      <c r="AM87">
        <v>24913.56</v>
      </c>
      <c r="AN87">
        <v>160564.81</v>
      </c>
      <c r="AO87">
        <v>814373.62</v>
      </c>
      <c r="AP87">
        <v>143529.34999999899</v>
      </c>
      <c r="AQ87">
        <v>32319.27</v>
      </c>
      <c r="AR87">
        <v>89420.71</v>
      </c>
      <c r="AS87">
        <v>117029.5</v>
      </c>
      <c r="AT87">
        <v>34.019399999999997</v>
      </c>
      <c r="AU87">
        <v>33.032837399999998</v>
      </c>
      <c r="AV87">
        <v>7089507.5627880003</v>
      </c>
      <c r="AW87">
        <v>99277726.034329996</v>
      </c>
      <c r="AX87">
        <v>14.0034727595788</v>
      </c>
      <c r="AY87">
        <v>228205.96</v>
      </c>
      <c r="AZ87">
        <v>1.0355071670017</v>
      </c>
      <c r="BA87">
        <v>256016.34146341399</v>
      </c>
      <c r="BB87">
        <v>1.1616995299111399</v>
      </c>
      <c r="BC87">
        <v>24.6673138497172</v>
      </c>
    </row>
    <row r="88" spans="1:55" x14ac:dyDescent="0.2">
      <c r="A88" t="s">
        <v>226</v>
      </c>
      <c r="B88" t="s">
        <v>227</v>
      </c>
      <c r="C88">
        <v>6500</v>
      </c>
      <c r="D88">
        <v>0</v>
      </c>
      <c r="E88">
        <v>0</v>
      </c>
      <c r="F88">
        <v>0</v>
      </c>
      <c r="G88">
        <v>0</v>
      </c>
      <c r="H88">
        <v>0</v>
      </c>
      <c r="I88">
        <v>6500</v>
      </c>
      <c r="J88">
        <v>174887.61</v>
      </c>
      <c r="K88">
        <v>2285956.33</v>
      </c>
      <c r="L88">
        <v>1600169.43</v>
      </c>
      <c r="M88">
        <v>388456.7</v>
      </c>
      <c r="N88">
        <v>1291042.4099999999</v>
      </c>
      <c r="O88">
        <v>3068910</v>
      </c>
      <c r="P88">
        <v>29727387</v>
      </c>
      <c r="Q88">
        <v>168947.78</v>
      </c>
      <c r="R88">
        <v>12268.62</v>
      </c>
      <c r="S88">
        <v>230245.05</v>
      </c>
      <c r="T88">
        <v>1464754.64</v>
      </c>
      <c r="U88">
        <v>80</v>
      </c>
      <c r="V88">
        <v>0</v>
      </c>
      <c r="W88">
        <v>0</v>
      </c>
      <c r="X88">
        <v>0</v>
      </c>
      <c r="Y88">
        <v>0</v>
      </c>
      <c r="Z88">
        <v>168947.78</v>
      </c>
      <c r="AA88">
        <v>12268.62</v>
      </c>
      <c r="AB88">
        <v>230245.05</v>
      </c>
      <c r="AC88">
        <v>1464754.64</v>
      </c>
      <c r="AD88">
        <v>1.32</v>
      </c>
      <c r="AE88">
        <v>0.17</v>
      </c>
      <c r="AF88">
        <v>0.75</v>
      </c>
      <c r="AG88">
        <v>4.6399999999999997</v>
      </c>
      <c r="AH88">
        <v>0</v>
      </c>
      <c r="AI88">
        <v>0</v>
      </c>
      <c r="AJ88">
        <v>0</v>
      </c>
      <c r="AK88">
        <v>0</v>
      </c>
      <c r="AL88">
        <v>168947.78</v>
      </c>
      <c r="AM88">
        <v>12268.62</v>
      </c>
      <c r="AN88">
        <v>230245.05</v>
      </c>
      <c r="AO88">
        <v>1464754.64</v>
      </c>
      <c r="AP88">
        <v>1600169.43</v>
      </c>
      <c r="AQ88">
        <v>388456.7</v>
      </c>
      <c r="AR88">
        <v>1291042.4099999999</v>
      </c>
      <c r="AS88">
        <v>3068910</v>
      </c>
      <c r="AT88">
        <v>36.28736</v>
      </c>
      <c r="AU88">
        <v>35.235026560000001</v>
      </c>
      <c r="AV88">
        <v>83595100.513600007</v>
      </c>
      <c r="AW88">
        <v>112530348.02367</v>
      </c>
      <c r="AX88">
        <v>1.3461356865688801</v>
      </c>
      <c r="AY88">
        <v>2259547.92119999</v>
      </c>
      <c r="AZ88">
        <v>0.98844754449005501</v>
      </c>
      <c r="BA88">
        <v>2372500</v>
      </c>
      <c r="BB88">
        <v>1.0378588465861001</v>
      </c>
      <c r="BC88">
        <v>26.905786153846101</v>
      </c>
    </row>
    <row r="89" spans="1:55" x14ac:dyDescent="0.2">
      <c r="A89" t="s">
        <v>228</v>
      </c>
      <c r="B89" t="s">
        <v>229</v>
      </c>
      <c r="C89">
        <v>0</v>
      </c>
      <c r="D89">
        <v>0</v>
      </c>
      <c r="E89">
        <v>1175</v>
      </c>
      <c r="F89">
        <v>1150</v>
      </c>
      <c r="G89">
        <v>475</v>
      </c>
      <c r="H89">
        <v>0</v>
      </c>
      <c r="I89">
        <v>2800</v>
      </c>
      <c r="J89">
        <v>25075.66</v>
      </c>
      <c r="K89">
        <v>245586</v>
      </c>
      <c r="L89">
        <v>171910.2</v>
      </c>
      <c r="M89">
        <v>39162.92</v>
      </c>
      <c r="N89">
        <v>1</v>
      </c>
      <c r="O89">
        <v>0</v>
      </c>
      <c r="P89">
        <v>68865456</v>
      </c>
      <c r="Q89">
        <v>133327.67999999999</v>
      </c>
      <c r="R89">
        <v>27599.38</v>
      </c>
      <c r="S89">
        <v>182420.52</v>
      </c>
      <c r="T89">
        <v>1123560.8400000001</v>
      </c>
      <c r="U89">
        <v>75</v>
      </c>
      <c r="V89">
        <v>0</v>
      </c>
      <c r="W89">
        <v>0</v>
      </c>
      <c r="X89">
        <v>0</v>
      </c>
      <c r="Y89">
        <v>0</v>
      </c>
      <c r="Z89">
        <v>133327.67999999999</v>
      </c>
      <c r="AA89">
        <v>27599.38</v>
      </c>
      <c r="AB89">
        <v>182420.52</v>
      </c>
      <c r="AC89">
        <v>1123560.8400000001</v>
      </c>
      <c r="AD89">
        <v>0.67</v>
      </c>
      <c r="AE89">
        <v>0.78</v>
      </c>
      <c r="AF89">
        <v>0.85</v>
      </c>
      <c r="AG89">
        <v>1.98</v>
      </c>
      <c r="AH89">
        <v>0</v>
      </c>
      <c r="AI89">
        <v>0</v>
      </c>
      <c r="AJ89">
        <v>0</v>
      </c>
      <c r="AK89">
        <v>0</v>
      </c>
      <c r="AL89">
        <v>133327.67999999999</v>
      </c>
      <c r="AM89">
        <v>27599.38</v>
      </c>
      <c r="AN89">
        <v>182420.52</v>
      </c>
      <c r="AO89">
        <v>1123560.8400000001</v>
      </c>
      <c r="AP89">
        <v>171910.2</v>
      </c>
      <c r="AQ89">
        <v>39162.92</v>
      </c>
      <c r="AR89">
        <v>1</v>
      </c>
      <c r="AS89">
        <v>0</v>
      </c>
      <c r="AT89">
        <v>34.019399999999997</v>
      </c>
      <c r="AU89">
        <v>33.032837399999998</v>
      </c>
      <c r="AV89">
        <v>0</v>
      </c>
      <c r="AW89">
        <v>260683985.79696</v>
      </c>
      <c r="AY89">
        <v>323977.52720000001</v>
      </c>
      <c r="AZ89">
        <v>1.3192019382212301</v>
      </c>
      <c r="BA89">
        <v>331615.85365853598</v>
      </c>
      <c r="BB89">
        <v>1.3503043889249999</v>
      </c>
      <c r="BC89">
        <v>24.4786204761904</v>
      </c>
    </row>
    <row r="90" spans="1:55" x14ac:dyDescent="0.2">
      <c r="A90" t="s">
        <v>230</v>
      </c>
      <c r="B90" t="s">
        <v>231</v>
      </c>
      <c r="C90">
        <v>800</v>
      </c>
      <c r="D90">
        <v>100</v>
      </c>
      <c r="E90">
        <v>0</v>
      </c>
      <c r="F90">
        <v>0</v>
      </c>
      <c r="G90">
        <v>115</v>
      </c>
      <c r="H90">
        <v>50</v>
      </c>
      <c r="I90">
        <v>1065</v>
      </c>
      <c r="J90">
        <v>22176.91</v>
      </c>
      <c r="K90">
        <v>290870.03000000003</v>
      </c>
      <c r="L90">
        <v>203609.02</v>
      </c>
      <c r="M90">
        <v>47654.84</v>
      </c>
      <c r="N90">
        <v>151518.97</v>
      </c>
      <c r="O90">
        <v>400770</v>
      </c>
      <c r="P90">
        <v>16325000</v>
      </c>
      <c r="Q90">
        <v>57275.11</v>
      </c>
      <c r="R90">
        <v>5292.87</v>
      </c>
      <c r="S90">
        <v>22361.68</v>
      </c>
      <c r="T90">
        <v>173080.72</v>
      </c>
      <c r="U90">
        <v>66</v>
      </c>
      <c r="V90">
        <v>0</v>
      </c>
      <c r="W90">
        <v>0</v>
      </c>
      <c r="X90">
        <v>0</v>
      </c>
      <c r="Y90">
        <v>0</v>
      </c>
      <c r="Z90">
        <v>57275.11</v>
      </c>
      <c r="AA90">
        <v>5292.87</v>
      </c>
      <c r="AB90">
        <v>22361.68</v>
      </c>
      <c r="AC90">
        <v>173080.72</v>
      </c>
      <c r="AD90">
        <v>1.3</v>
      </c>
      <c r="AE90">
        <v>0.76</v>
      </c>
      <c r="AF90">
        <v>0.52</v>
      </c>
      <c r="AG90">
        <v>0.97</v>
      </c>
      <c r="AH90">
        <v>14250</v>
      </c>
      <c r="AI90">
        <v>9000</v>
      </c>
      <c r="AJ90">
        <v>42250</v>
      </c>
      <c r="AK90">
        <v>1167817.5</v>
      </c>
      <c r="AL90">
        <v>57275.11</v>
      </c>
      <c r="AM90">
        <v>5292.87</v>
      </c>
      <c r="AN90">
        <v>22361.68</v>
      </c>
      <c r="AO90">
        <v>173080.72</v>
      </c>
      <c r="AP90">
        <v>189359.02</v>
      </c>
      <c r="AQ90">
        <v>38654.839999999997</v>
      </c>
      <c r="AR90">
        <v>109268.97</v>
      </c>
      <c r="AS90">
        <v>-767047.5</v>
      </c>
      <c r="AT90">
        <v>29.937072000000001</v>
      </c>
      <c r="AU90">
        <v>29.068896912</v>
      </c>
      <c r="AV90">
        <v>9549132.6355919894</v>
      </c>
      <c r="AW90">
        <v>61796818.25</v>
      </c>
      <c r="AX90">
        <v>6.4714587814675202</v>
      </c>
      <c r="AY90">
        <v>286525.67719999998</v>
      </c>
      <c r="AZ90">
        <v>0.98506428180311301</v>
      </c>
      <c r="BA90">
        <v>335844.51219512097</v>
      </c>
      <c r="BB90">
        <v>1.1546205437360499</v>
      </c>
      <c r="BC90">
        <v>23.092147555555499</v>
      </c>
    </row>
    <row r="91" spans="1:55" x14ac:dyDescent="0.2">
      <c r="A91" t="s">
        <v>232</v>
      </c>
      <c r="B91" t="s">
        <v>233</v>
      </c>
      <c r="C91">
        <v>922</v>
      </c>
      <c r="D91">
        <v>100</v>
      </c>
      <c r="E91">
        <v>0</v>
      </c>
      <c r="F91">
        <v>0</v>
      </c>
      <c r="G91">
        <v>150</v>
      </c>
      <c r="H91">
        <v>0</v>
      </c>
      <c r="I91">
        <v>1172</v>
      </c>
      <c r="J91">
        <v>25641.69</v>
      </c>
      <c r="K91">
        <v>336053.63</v>
      </c>
      <c r="L91">
        <v>235237.54</v>
      </c>
      <c r="M91">
        <v>55451.7</v>
      </c>
      <c r="N91">
        <v>177055.26</v>
      </c>
      <c r="O91">
        <v>458371.08</v>
      </c>
      <c r="P91">
        <v>18510000</v>
      </c>
      <c r="Q91">
        <v>68003.149999999994</v>
      </c>
      <c r="R91">
        <v>8936.51</v>
      </c>
      <c r="S91">
        <v>48772.2</v>
      </c>
      <c r="T91">
        <v>303677.76</v>
      </c>
      <c r="U91">
        <v>70</v>
      </c>
      <c r="V91">
        <v>3840</v>
      </c>
      <c r="W91">
        <v>2280</v>
      </c>
      <c r="X91">
        <v>10320</v>
      </c>
      <c r="Y91">
        <v>256912.8</v>
      </c>
      <c r="Z91">
        <v>68003.149999999994</v>
      </c>
      <c r="AA91">
        <v>8936.51</v>
      </c>
      <c r="AB91">
        <v>48772.2</v>
      </c>
      <c r="AC91">
        <v>303677.76</v>
      </c>
      <c r="AD91">
        <v>1.1599999999999999</v>
      </c>
      <c r="AE91">
        <v>0.87</v>
      </c>
      <c r="AF91">
        <v>0.86</v>
      </c>
      <c r="AG91">
        <v>1.87</v>
      </c>
      <c r="AH91">
        <v>0</v>
      </c>
      <c r="AI91">
        <v>0</v>
      </c>
      <c r="AJ91">
        <v>0</v>
      </c>
      <c r="AK91">
        <v>0</v>
      </c>
      <c r="AL91">
        <v>71843.149999999994</v>
      </c>
      <c r="AM91">
        <v>11216.51</v>
      </c>
      <c r="AN91">
        <v>59092.2</v>
      </c>
      <c r="AO91">
        <v>560590.56000000006</v>
      </c>
      <c r="AP91">
        <v>231397.54</v>
      </c>
      <c r="AQ91">
        <v>53171.7</v>
      </c>
      <c r="AR91">
        <v>166735.26</v>
      </c>
      <c r="AS91">
        <v>201458.28</v>
      </c>
      <c r="AT91">
        <v>31.751439999999999</v>
      </c>
      <c r="AU91">
        <v>30.830648239999999</v>
      </c>
      <c r="AV91">
        <v>11500756.7129671</v>
      </c>
      <c r="AW91">
        <v>70067939.099999994</v>
      </c>
      <c r="AX91">
        <v>6.0924633786051503</v>
      </c>
      <c r="AY91">
        <v>331290.6348</v>
      </c>
      <c r="AZ91">
        <v>0.98582668129488704</v>
      </c>
      <c r="BA91">
        <v>379706.829268292</v>
      </c>
      <c r="BB91">
        <v>1.12989950225591</v>
      </c>
      <c r="BC91">
        <v>23.811136301866199</v>
      </c>
    </row>
    <row r="92" spans="1:55" x14ac:dyDescent="0.2">
      <c r="A92" t="s">
        <v>234</v>
      </c>
      <c r="B92" t="s">
        <v>235</v>
      </c>
      <c r="C92">
        <v>2135</v>
      </c>
      <c r="D92">
        <v>265</v>
      </c>
      <c r="E92">
        <v>1105</v>
      </c>
      <c r="F92">
        <v>560</v>
      </c>
      <c r="G92">
        <v>455</v>
      </c>
      <c r="H92">
        <v>525</v>
      </c>
      <c r="I92">
        <v>5045</v>
      </c>
      <c r="J92">
        <v>78691.98</v>
      </c>
      <c r="K92">
        <v>968579.76</v>
      </c>
      <c r="L92">
        <v>678005.83</v>
      </c>
      <c r="M92">
        <v>157110.16</v>
      </c>
      <c r="N92">
        <v>407179.32</v>
      </c>
      <c r="O92">
        <v>1069122.6000000001</v>
      </c>
      <c r="P92">
        <v>68331277</v>
      </c>
      <c r="Q92">
        <v>203788.99</v>
      </c>
      <c r="R92">
        <v>36666.79</v>
      </c>
      <c r="S92">
        <v>283054.43</v>
      </c>
      <c r="T92">
        <v>1751343.15</v>
      </c>
      <c r="U92">
        <v>68</v>
      </c>
      <c r="V92">
        <v>214754.21</v>
      </c>
      <c r="W92">
        <v>74540.62</v>
      </c>
      <c r="X92">
        <v>217971.26</v>
      </c>
      <c r="Y92">
        <v>4853411.08</v>
      </c>
      <c r="Z92">
        <v>194376.3</v>
      </c>
      <c r="AA92">
        <v>35969.620000000003</v>
      </c>
      <c r="AB92">
        <v>272828.06</v>
      </c>
      <c r="AC92">
        <v>1668866.51</v>
      </c>
      <c r="AD92">
        <v>1.1000000000000001</v>
      </c>
      <c r="AE92">
        <v>1.35</v>
      </c>
      <c r="AF92">
        <v>1.43</v>
      </c>
      <c r="AG92">
        <v>3.55</v>
      </c>
      <c r="AH92">
        <v>9412.69</v>
      </c>
      <c r="AI92">
        <v>697.17</v>
      </c>
      <c r="AJ92">
        <v>10226.36</v>
      </c>
      <c r="AK92">
        <v>82476.639999999999</v>
      </c>
      <c r="AL92">
        <v>409130.51</v>
      </c>
      <c r="AM92">
        <v>110510.239999999</v>
      </c>
      <c r="AN92">
        <v>490799.32</v>
      </c>
      <c r="AO92">
        <v>6522277.5899999999</v>
      </c>
      <c r="AP92">
        <v>463251.61999999901</v>
      </c>
      <c r="AQ92">
        <v>82569.539999999994</v>
      </c>
      <c r="AR92">
        <v>189208.07</v>
      </c>
      <c r="AS92">
        <v>-3784288.48</v>
      </c>
      <c r="AT92">
        <v>30.844256000000001</v>
      </c>
      <c r="AU92">
        <v>29.949772576000001</v>
      </c>
      <c r="AV92">
        <v>26236000.776576001</v>
      </c>
      <c r="AW92">
        <v>258661899.26857001</v>
      </c>
      <c r="AX92">
        <v>9.8590445042030996</v>
      </c>
      <c r="AY92">
        <v>1016700.3816</v>
      </c>
      <c r="AZ92">
        <v>1.0496816303491601</v>
      </c>
      <c r="BA92">
        <v>1141960.36585365</v>
      </c>
      <c r="BB92">
        <v>1.1790049854579401</v>
      </c>
      <c r="BC92">
        <v>23.3668019554589</v>
      </c>
    </row>
    <row r="93" spans="1:55" x14ac:dyDescent="0.2">
      <c r="A93" t="s">
        <v>236</v>
      </c>
      <c r="B93" t="s">
        <v>237</v>
      </c>
      <c r="C93">
        <v>505</v>
      </c>
      <c r="D93">
        <v>65</v>
      </c>
      <c r="E93">
        <v>155</v>
      </c>
      <c r="F93">
        <v>105</v>
      </c>
      <c r="G93">
        <v>0</v>
      </c>
      <c r="H93">
        <v>0</v>
      </c>
      <c r="I93">
        <v>830</v>
      </c>
      <c r="J93">
        <v>16149.51</v>
      </c>
      <c r="K93">
        <v>201028.39</v>
      </c>
      <c r="L93">
        <v>140719.87</v>
      </c>
      <c r="M93">
        <v>33508.43</v>
      </c>
      <c r="N93">
        <v>94648.27</v>
      </c>
      <c r="O93">
        <v>253418.4</v>
      </c>
      <c r="P93">
        <v>6237000</v>
      </c>
      <c r="Q93">
        <v>15134.02</v>
      </c>
      <c r="R93">
        <v>3973.35</v>
      </c>
      <c r="S93">
        <v>14272.65</v>
      </c>
      <c r="T93">
        <v>102045.16</v>
      </c>
      <c r="U93">
        <v>63</v>
      </c>
      <c r="V93">
        <v>28106</v>
      </c>
      <c r="W93">
        <v>8431.7999999999993</v>
      </c>
      <c r="X93">
        <v>24214.400000000001</v>
      </c>
      <c r="Y93">
        <v>0</v>
      </c>
      <c r="Z93">
        <v>15134.02</v>
      </c>
      <c r="AA93">
        <v>3973.35</v>
      </c>
      <c r="AB93">
        <v>14272.65</v>
      </c>
      <c r="AC93">
        <v>102045.16</v>
      </c>
      <c r="AD93">
        <v>1.26</v>
      </c>
      <c r="AE93">
        <v>0.35</v>
      </c>
      <c r="AF93">
        <v>0.44</v>
      </c>
      <c r="AG93">
        <v>0.57999999999999996</v>
      </c>
      <c r="AH93">
        <v>0</v>
      </c>
      <c r="AI93">
        <v>0</v>
      </c>
      <c r="AJ93">
        <v>0</v>
      </c>
      <c r="AK93">
        <v>0</v>
      </c>
      <c r="AL93">
        <v>43240.02</v>
      </c>
      <c r="AM93">
        <v>12405.15</v>
      </c>
      <c r="AN93">
        <v>38487.050000000003</v>
      </c>
      <c r="AO93">
        <v>102045.16</v>
      </c>
      <c r="AP93">
        <v>112613.86999999901</v>
      </c>
      <c r="AQ93">
        <v>25076.629999999899</v>
      </c>
      <c r="AR93">
        <v>70433.87</v>
      </c>
      <c r="AS93">
        <v>253418.4</v>
      </c>
      <c r="AT93">
        <v>28.576295999999999</v>
      </c>
      <c r="AU93">
        <v>27.747583415999902</v>
      </c>
      <c r="AV93">
        <v>5772884.7296987996</v>
      </c>
      <c r="AW93">
        <v>23609602.170000002</v>
      </c>
      <c r="AX93">
        <v>4.0897407925953502</v>
      </c>
      <c r="AY93">
        <v>208651.6692</v>
      </c>
      <c r="AZ93">
        <v>1.03792140602628</v>
      </c>
      <c r="BA93">
        <v>242769.512195121</v>
      </c>
      <c r="BB93">
        <v>1.2076379470338501</v>
      </c>
      <c r="BC93">
        <v>24.280524752475198</v>
      </c>
    </row>
    <row r="94" spans="1:55" x14ac:dyDescent="0.2">
      <c r="A94" t="s">
        <v>238</v>
      </c>
      <c r="B94" t="s">
        <v>239</v>
      </c>
      <c r="C94">
        <v>410</v>
      </c>
      <c r="D94">
        <v>50</v>
      </c>
      <c r="E94">
        <v>50</v>
      </c>
      <c r="F94">
        <v>50</v>
      </c>
      <c r="G94">
        <v>30</v>
      </c>
      <c r="H94">
        <v>0</v>
      </c>
      <c r="I94">
        <v>590</v>
      </c>
      <c r="J94">
        <v>12066.57</v>
      </c>
      <c r="K94">
        <v>154931.51</v>
      </c>
      <c r="L94">
        <v>108452.06</v>
      </c>
      <c r="M94">
        <v>25689.61</v>
      </c>
      <c r="N94">
        <v>77383.360000000001</v>
      </c>
      <c r="O94">
        <v>205106.4</v>
      </c>
      <c r="P94">
        <v>682500</v>
      </c>
      <c r="Q94">
        <v>3924.99</v>
      </c>
      <c r="R94">
        <v>620.27</v>
      </c>
      <c r="S94">
        <v>4290.1899999999996</v>
      </c>
      <c r="T94">
        <v>31994.73</v>
      </c>
      <c r="U94">
        <v>65</v>
      </c>
      <c r="V94">
        <v>0</v>
      </c>
      <c r="W94">
        <v>0</v>
      </c>
      <c r="X94">
        <v>0</v>
      </c>
      <c r="Y94">
        <v>0</v>
      </c>
      <c r="Z94">
        <v>3924.99</v>
      </c>
      <c r="AA94">
        <v>620.27</v>
      </c>
      <c r="AB94">
        <v>4290.1899999999996</v>
      </c>
      <c r="AC94">
        <v>31994.73</v>
      </c>
      <c r="AD94">
        <v>1.1000000000000001</v>
      </c>
      <c r="AE94">
        <v>0.04</v>
      </c>
      <c r="AF94">
        <v>0.17</v>
      </c>
      <c r="AG94">
        <v>5.19</v>
      </c>
      <c r="AH94">
        <v>0</v>
      </c>
      <c r="AI94">
        <v>0</v>
      </c>
      <c r="AJ94">
        <v>0</v>
      </c>
      <c r="AK94">
        <v>0</v>
      </c>
      <c r="AL94">
        <v>3924.99</v>
      </c>
      <c r="AM94">
        <v>620.27</v>
      </c>
      <c r="AN94">
        <v>4290.1899999999996</v>
      </c>
      <c r="AO94">
        <v>31994.73</v>
      </c>
      <c r="AP94">
        <v>108452.06</v>
      </c>
      <c r="AQ94">
        <v>25689.61</v>
      </c>
      <c r="AR94">
        <v>77383.360000000001</v>
      </c>
      <c r="AS94">
        <v>205106.4</v>
      </c>
      <c r="AT94">
        <v>29.48348</v>
      </c>
      <c r="AU94">
        <v>28.628459079999999</v>
      </c>
      <c r="AV94">
        <v>4806718.2795319902</v>
      </c>
      <c r="AW94">
        <v>2583542.3250000002</v>
      </c>
      <c r="AX94">
        <v>0.53748569705057503</v>
      </c>
      <c r="AY94">
        <v>155900.08439999999</v>
      </c>
      <c r="AZ94">
        <v>1.0062516295103501</v>
      </c>
      <c r="BA94">
        <v>182589.02439024299</v>
      </c>
      <c r="BB94">
        <v>1.17851445706715</v>
      </c>
      <c r="BC94">
        <v>23.773636232580401</v>
      </c>
    </row>
    <row r="95" spans="1:55" x14ac:dyDescent="0.2">
      <c r="A95" t="s">
        <v>240</v>
      </c>
      <c r="B95" t="s">
        <v>241</v>
      </c>
      <c r="C95">
        <v>325</v>
      </c>
      <c r="D95">
        <v>25</v>
      </c>
      <c r="E95">
        <v>0</v>
      </c>
      <c r="F95">
        <v>0</v>
      </c>
      <c r="G95">
        <v>0</v>
      </c>
      <c r="H95">
        <v>0</v>
      </c>
      <c r="I95">
        <v>350</v>
      </c>
      <c r="J95">
        <v>8488.15</v>
      </c>
      <c r="K95">
        <v>111371.83</v>
      </c>
      <c r="L95">
        <v>77960.28</v>
      </c>
      <c r="M95">
        <v>18647.509999999998</v>
      </c>
      <c r="N95">
        <v>61340.47</v>
      </c>
      <c r="O95">
        <v>159210</v>
      </c>
      <c r="P95">
        <v>21215000</v>
      </c>
      <c r="Q95">
        <v>77843.789999999994</v>
      </c>
      <c r="R95">
        <v>8243.5300000000007</v>
      </c>
      <c r="S95">
        <v>1124016.3899999999</v>
      </c>
      <c r="T95">
        <v>262765.40000000002</v>
      </c>
      <c r="U95">
        <v>65</v>
      </c>
      <c r="V95">
        <v>0</v>
      </c>
      <c r="W95">
        <v>0</v>
      </c>
      <c r="X95">
        <v>0</v>
      </c>
      <c r="Y95">
        <v>0</v>
      </c>
      <c r="Z95">
        <v>77843.789999999994</v>
      </c>
      <c r="AA95">
        <v>8243.5300000000007</v>
      </c>
      <c r="AB95">
        <v>1124016.3899999999</v>
      </c>
      <c r="AC95">
        <v>262765.40000000002</v>
      </c>
      <c r="AD95">
        <v>1.21</v>
      </c>
      <c r="AE95">
        <v>0.82</v>
      </c>
      <c r="AF95">
        <v>17.14</v>
      </c>
      <c r="AG95">
        <v>0.59</v>
      </c>
      <c r="AH95">
        <v>42000</v>
      </c>
      <c r="AI95">
        <v>25200</v>
      </c>
      <c r="AJ95">
        <v>119280</v>
      </c>
      <c r="AK95">
        <v>3065697.04</v>
      </c>
      <c r="AL95">
        <v>77843.789999999994</v>
      </c>
      <c r="AM95">
        <v>8243.5300000000007</v>
      </c>
      <c r="AN95">
        <v>1124016.3899999999</v>
      </c>
      <c r="AO95">
        <v>262765.40000000002</v>
      </c>
      <c r="AP95">
        <v>35960.28</v>
      </c>
      <c r="AQ95">
        <v>-6552.4899999999898</v>
      </c>
      <c r="AR95">
        <v>-57939.53</v>
      </c>
      <c r="AS95">
        <v>-2906487.04</v>
      </c>
      <c r="AT95">
        <v>29.48348</v>
      </c>
      <c r="AU95">
        <v>28.628459079999999</v>
      </c>
      <c r="AV95">
        <v>3657285.64746999</v>
      </c>
      <c r="AW95">
        <v>80307473.150000006</v>
      </c>
      <c r="AX95">
        <v>21.958217347762801</v>
      </c>
      <c r="AY95">
        <v>109666.898</v>
      </c>
      <c r="AZ95">
        <v>0.98469153285889199</v>
      </c>
      <c r="BA95">
        <v>127750</v>
      </c>
      <c r="BB95">
        <v>1.1470584617313</v>
      </c>
      <c r="BC95">
        <v>24.251857142857101</v>
      </c>
    </row>
    <row r="96" spans="1:55" x14ac:dyDescent="0.2">
      <c r="A96" t="s">
        <v>242</v>
      </c>
      <c r="B96" t="s">
        <v>243</v>
      </c>
      <c r="C96">
        <v>1506</v>
      </c>
      <c r="D96">
        <v>216</v>
      </c>
      <c r="E96">
        <v>422</v>
      </c>
      <c r="F96">
        <v>450</v>
      </c>
      <c r="G96">
        <v>0</v>
      </c>
      <c r="H96">
        <v>0</v>
      </c>
      <c r="I96">
        <v>2594</v>
      </c>
      <c r="J96">
        <v>51562.98</v>
      </c>
      <c r="K96">
        <v>640559.88</v>
      </c>
      <c r="L96">
        <v>448391.92</v>
      </c>
      <c r="M96">
        <v>107132.44</v>
      </c>
      <c r="N96">
        <v>294163.83</v>
      </c>
      <c r="O96">
        <v>760848.12</v>
      </c>
      <c r="P96">
        <v>92347157</v>
      </c>
      <c r="Q96">
        <v>292247.7</v>
      </c>
      <c r="R96">
        <v>61884.93</v>
      </c>
      <c r="S96">
        <v>589314.14</v>
      </c>
      <c r="T96">
        <v>3205728.02</v>
      </c>
      <c r="U96">
        <v>75</v>
      </c>
      <c r="V96">
        <v>0</v>
      </c>
      <c r="W96">
        <v>0</v>
      </c>
      <c r="X96">
        <v>0</v>
      </c>
      <c r="Y96">
        <v>0</v>
      </c>
      <c r="Z96">
        <v>292247.7</v>
      </c>
      <c r="AA96">
        <v>61884.93</v>
      </c>
      <c r="AB96">
        <v>589314.14</v>
      </c>
      <c r="AC96">
        <v>3205728.02</v>
      </c>
      <c r="AD96">
        <v>1.33</v>
      </c>
      <c r="AE96">
        <v>1.51</v>
      </c>
      <c r="AF96">
        <v>2.31</v>
      </c>
      <c r="AG96">
        <v>3.29</v>
      </c>
      <c r="AH96">
        <v>0</v>
      </c>
      <c r="AI96">
        <v>0</v>
      </c>
      <c r="AJ96">
        <v>0</v>
      </c>
      <c r="AK96">
        <v>0</v>
      </c>
      <c r="AL96">
        <v>292247.7</v>
      </c>
      <c r="AM96">
        <v>61884.93</v>
      </c>
      <c r="AN96">
        <v>589314.14</v>
      </c>
      <c r="AO96">
        <v>3205728.02</v>
      </c>
      <c r="AP96">
        <v>448391.92</v>
      </c>
      <c r="AQ96">
        <v>107132.44</v>
      </c>
      <c r="AR96">
        <v>294163.82999999903</v>
      </c>
      <c r="AS96">
        <v>760848.12</v>
      </c>
      <c r="AT96">
        <v>34.019399999999997</v>
      </c>
      <c r="AU96">
        <v>33.032837399999998</v>
      </c>
      <c r="AV96">
        <v>20762129.291021999</v>
      </c>
      <c r="AW96">
        <v>349571851.57937002</v>
      </c>
      <c r="AX96">
        <v>16.836994254271001</v>
      </c>
      <c r="AY96">
        <v>666193.70160000003</v>
      </c>
      <c r="AZ96">
        <v>1.0400178381449601</v>
      </c>
      <c r="BA96">
        <v>744973.90243902395</v>
      </c>
      <c r="BB96">
        <v>1.16300431185141</v>
      </c>
      <c r="BC96">
        <v>25.263284577328399</v>
      </c>
    </row>
    <row r="97" spans="1:55" x14ac:dyDescent="0.2">
      <c r="A97" t="s">
        <v>244</v>
      </c>
      <c r="B97" t="s">
        <v>245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17.55</v>
      </c>
      <c r="K97">
        <v>230.13</v>
      </c>
      <c r="L97">
        <v>161.09</v>
      </c>
      <c r="M97">
        <v>37.409999999999997</v>
      </c>
      <c r="N97">
        <v>146.58000000000001</v>
      </c>
      <c r="O97">
        <v>472.14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0.82</v>
      </c>
      <c r="AE97">
        <v>0.68</v>
      </c>
      <c r="AF97">
        <v>0.46</v>
      </c>
      <c r="AG97">
        <v>1.91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161.09</v>
      </c>
      <c r="AQ97">
        <v>37.409999999999997</v>
      </c>
      <c r="AR97">
        <v>146.58000000000001</v>
      </c>
      <c r="AS97">
        <v>472.14</v>
      </c>
      <c r="AT97">
        <v>0.453592</v>
      </c>
      <c r="AU97">
        <v>0.44043783199999997</v>
      </c>
      <c r="AV97">
        <v>160.75980867999999</v>
      </c>
      <c r="AW97">
        <v>0</v>
      </c>
      <c r="AY97">
        <v>226.74600000000001</v>
      </c>
      <c r="AZ97">
        <v>0.98529526789206101</v>
      </c>
      <c r="BA97">
        <v>365</v>
      </c>
      <c r="BB97">
        <v>1.5860600530135101</v>
      </c>
      <c r="BC97">
        <v>17.55</v>
      </c>
    </row>
    <row r="98" spans="1:55" x14ac:dyDescent="0.2">
      <c r="A98" t="s">
        <v>246</v>
      </c>
      <c r="B98" t="s">
        <v>247</v>
      </c>
      <c r="C98">
        <v>1950</v>
      </c>
      <c r="D98">
        <v>290</v>
      </c>
      <c r="E98">
        <v>445</v>
      </c>
      <c r="F98">
        <v>400</v>
      </c>
      <c r="G98">
        <v>0</v>
      </c>
      <c r="H98">
        <v>0</v>
      </c>
      <c r="I98">
        <v>3085</v>
      </c>
      <c r="J98">
        <v>62208.11</v>
      </c>
      <c r="K98">
        <v>777261.57</v>
      </c>
      <c r="L98">
        <v>544083.1</v>
      </c>
      <c r="M98">
        <v>129426.47</v>
      </c>
      <c r="N98">
        <v>369327.48</v>
      </c>
      <c r="O98">
        <v>987541.2</v>
      </c>
      <c r="P98">
        <v>10989000</v>
      </c>
      <c r="Q98">
        <v>51780.09</v>
      </c>
      <c r="R98">
        <v>7003.15</v>
      </c>
      <c r="S98">
        <v>47913.23</v>
      </c>
      <c r="T98">
        <v>304819.65000000002</v>
      </c>
      <c r="U98">
        <v>66</v>
      </c>
      <c r="V98">
        <v>91400.3</v>
      </c>
      <c r="W98">
        <v>23079.4</v>
      </c>
      <c r="X98">
        <v>64227</v>
      </c>
      <c r="Y98">
        <v>0</v>
      </c>
      <c r="Z98">
        <v>51780.09</v>
      </c>
      <c r="AA98">
        <v>7003.15</v>
      </c>
      <c r="AB98">
        <v>47913.23</v>
      </c>
      <c r="AC98">
        <v>304819.65000000002</v>
      </c>
      <c r="AD98">
        <v>0.79</v>
      </c>
      <c r="AE98">
        <v>0.24</v>
      </c>
      <c r="AF98">
        <v>0.3</v>
      </c>
      <c r="AG98">
        <v>1.4</v>
      </c>
      <c r="AH98">
        <v>0</v>
      </c>
      <c r="AI98">
        <v>0</v>
      </c>
      <c r="AJ98">
        <v>0</v>
      </c>
      <c r="AK98">
        <v>0</v>
      </c>
      <c r="AL98">
        <v>143180.39000000001</v>
      </c>
      <c r="AM98">
        <v>30082.55</v>
      </c>
      <c r="AN98">
        <v>112140.23</v>
      </c>
      <c r="AO98">
        <v>304819.65000000002</v>
      </c>
      <c r="AP98">
        <v>452682.799999999</v>
      </c>
      <c r="AQ98">
        <v>106347.069999999</v>
      </c>
      <c r="AR98">
        <v>305100.48</v>
      </c>
      <c r="AS98">
        <v>987541.2</v>
      </c>
      <c r="AT98">
        <v>29.937072000000001</v>
      </c>
      <c r="AU98">
        <v>29.068896912</v>
      </c>
      <c r="AV98">
        <v>23766730.115251198</v>
      </c>
      <c r="AW98">
        <v>41597870.490000002</v>
      </c>
      <c r="AX98">
        <v>1.7502563578700501</v>
      </c>
      <c r="AY98">
        <v>803728.78119999997</v>
      </c>
      <c r="AZ98">
        <v>1.0340518716241101</v>
      </c>
      <c r="BA98">
        <v>930438.41463414603</v>
      </c>
      <c r="BB98">
        <v>1.19707245352957</v>
      </c>
      <c r="BC98">
        <v>24.403506769363201</v>
      </c>
    </row>
    <row r="99" spans="1:55" x14ac:dyDescent="0.2">
      <c r="A99" t="s">
        <v>248</v>
      </c>
      <c r="B99" t="s">
        <v>249</v>
      </c>
      <c r="C99">
        <v>875</v>
      </c>
      <c r="D99">
        <v>75</v>
      </c>
      <c r="E99">
        <v>250</v>
      </c>
      <c r="F99">
        <v>275</v>
      </c>
      <c r="G99">
        <v>100</v>
      </c>
      <c r="H99">
        <v>0</v>
      </c>
      <c r="I99">
        <v>1575</v>
      </c>
      <c r="J99">
        <v>27961.23</v>
      </c>
      <c r="K99">
        <v>349606.27</v>
      </c>
      <c r="L99">
        <v>244724.39</v>
      </c>
      <c r="M99">
        <v>57969.82</v>
      </c>
      <c r="N99">
        <v>162265.17000000001</v>
      </c>
      <c r="O99">
        <v>430416</v>
      </c>
      <c r="P99">
        <v>4839198</v>
      </c>
      <c r="Q99">
        <v>25896.84</v>
      </c>
      <c r="R99">
        <v>5833.85</v>
      </c>
      <c r="S99">
        <v>25051.4</v>
      </c>
      <c r="T99">
        <v>124387.6</v>
      </c>
      <c r="U99">
        <v>60</v>
      </c>
      <c r="V99">
        <v>0</v>
      </c>
      <c r="W99">
        <v>0</v>
      </c>
      <c r="X99">
        <v>0</v>
      </c>
      <c r="Y99">
        <v>0</v>
      </c>
      <c r="Z99">
        <v>23936.240000000002</v>
      </c>
      <c r="AA99">
        <v>5355.95</v>
      </c>
      <c r="AB99">
        <v>22034.44</v>
      </c>
      <c r="AC99">
        <v>109603.59</v>
      </c>
      <c r="AD99">
        <v>1.1299999999999999</v>
      </c>
      <c r="AE99">
        <v>1.29</v>
      </c>
      <c r="AF99">
        <v>0.83</v>
      </c>
      <c r="AG99">
        <v>1.26</v>
      </c>
      <c r="AH99">
        <v>205940.6</v>
      </c>
      <c r="AI99">
        <v>57817.9</v>
      </c>
      <c r="AJ99">
        <v>224856.97</v>
      </c>
      <c r="AK99">
        <v>14784</v>
      </c>
      <c r="AL99">
        <v>23936.240000000002</v>
      </c>
      <c r="AM99">
        <v>5355.95</v>
      </c>
      <c r="AN99">
        <v>22034.44</v>
      </c>
      <c r="AO99">
        <v>109603.59</v>
      </c>
      <c r="AP99">
        <v>40744.39</v>
      </c>
      <c r="AQ99">
        <v>629.81999999999903</v>
      </c>
      <c r="AR99">
        <v>-59574.84</v>
      </c>
      <c r="AS99">
        <v>430416.01</v>
      </c>
      <c r="AT99">
        <v>27.215519999999898</v>
      </c>
      <c r="AU99">
        <v>26.4262699199999</v>
      </c>
      <c r="AV99">
        <v>9163309.0947599895</v>
      </c>
      <c r="AW99">
        <v>18318348.501180001</v>
      </c>
      <c r="AX99">
        <v>1.99909752162079</v>
      </c>
      <c r="AY99">
        <v>361259.09159999999</v>
      </c>
      <c r="AZ99">
        <v>1.0333312717761001</v>
      </c>
      <c r="BA99">
        <v>421307.92682926799</v>
      </c>
      <c r="BB99">
        <v>1.20509259410384</v>
      </c>
      <c r="BC99">
        <v>23.722926642524499</v>
      </c>
    </row>
    <row r="100" spans="1:55" x14ac:dyDescent="0.2">
      <c r="A100" t="s">
        <v>250</v>
      </c>
      <c r="B100" t="s">
        <v>251</v>
      </c>
      <c r="C100">
        <v>2385</v>
      </c>
      <c r="D100">
        <v>305</v>
      </c>
      <c r="E100">
        <v>460</v>
      </c>
      <c r="F100">
        <v>535</v>
      </c>
      <c r="G100">
        <v>150</v>
      </c>
      <c r="H100">
        <v>0</v>
      </c>
      <c r="I100">
        <v>3835</v>
      </c>
      <c r="J100">
        <v>81866.59</v>
      </c>
      <c r="K100">
        <v>1037322.18</v>
      </c>
      <c r="L100">
        <v>726125.53</v>
      </c>
      <c r="M100">
        <v>173890.65</v>
      </c>
      <c r="N100">
        <v>490996.87</v>
      </c>
      <c r="O100">
        <v>1196380.8</v>
      </c>
      <c r="P100">
        <v>103887000</v>
      </c>
      <c r="Q100">
        <v>385035.39</v>
      </c>
      <c r="R100">
        <v>60992.15</v>
      </c>
      <c r="S100">
        <v>440260.45</v>
      </c>
      <c r="T100">
        <v>2532265.4700000002</v>
      </c>
      <c r="U100">
        <v>91</v>
      </c>
      <c r="V100">
        <v>0</v>
      </c>
      <c r="W100">
        <v>0</v>
      </c>
      <c r="X100">
        <v>0</v>
      </c>
      <c r="Y100">
        <v>0</v>
      </c>
      <c r="Z100">
        <v>357778.07</v>
      </c>
      <c r="AA100">
        <v>56542.6</v>
      </c>
      <c r="AB100">
        <v>408897.91</v>
      </c>
      <c r="AC100">
        <v>2352721.2000000002</v>
      </c>
      <c r="AD100">
        <v>1.18</v>
      </c>
      <c r="AE100">
        <v>0.83</v>
      </c>
      <c r="AF100">
        <v>1</v>
      </c>
      <c r="AG100">
        <v>1.69</v>
      </c>
      <c r="AH100">
        <v>298225.37</v>
      </c>
      <c r="AI100">
        <v>42500.89</v>
      </c>
      <c r="AJ100">
        <v>129333.89</v>
      </c>
      <c r="AK100">
        <v>179544.26</v>
      </c>
      <c r="AL100">
        <v>357778.07</v>
      </c>
      <c r="AM100">
        <v>56542.6</v>
      </c>
      <c r="AN100">
        <v>408897.91</v>
      </c>
      <c r="AO100">
        <v>2352721.2000000002</v>
      </c>
      <c r="AP100">
        <v>455157.47999999899</v>
      </c>
      <c r="AQ100">
        <v>135839.31</v>
      </c>
      <c r="AR100">
        <v>393025.52</v>
      </c>
      <c r="AS100">
        <v>1196380.81</v>
      </c>
      <c r="AT100">
        <v>41.276871999999997</v>
      </c>
      <c r="AU100">
        <v>40.079842711999902</v>
      </c>
      <c r="AV100">
        <v>39352393.566777103</v>
      </c>
      <c r="AW100">
        <v>393254888.67000002</v>
      </c>
      <c r="AX100">
        <v>9.9931631351136101</v>
      </c>
      <c r="AY100">
        <v>1057716.3428</v>
      </c>
      <c r="AZ100">
        <v>1.01966039403495</v>
      </c>
      <c r="BA100">
        <v>1121395.7317073101</v>
      </c>
      <c r="BB100">
        <v>1.08104863978452</v>
      </c>
      <c r="BC100">
        <v>26.332955634880101</v>
      </c>
    </row>
    <row r="101" spans="1:55" x14ac:dyDescent="0.2">
      <c r="A101" t="s">
        <v>252</v>
      </c>
      <c r="B101" t="s">
        <v>253</v>
      </c>
      <c r="C101">
        <v>2375</v>
      </c>
      <c r="D101">
        <v>274</v>
      </c>
      <c r="E101">
        <v>350</v>
      </c>
      <c r="F101">
        <v>265</v>
      </c>
      <c r="G101">
        <v>284</v>
      </c>
      <c r="H101">
        <v>0</v>
      </c>
      <c r="I101">
        <v>3548</v>
      </c>
      <c r="J101">
        <v>72397.89</v>
      </c>
      <c r="K101">
        <v>925581.89</v>
      </c>
      <c r="L101">
        <v>647907.31999999995</v>
      </c>
      <c r="M101">
        <v>153440.48000000001</v>
      </c>
      <c r="N101">
        <v>457645.19</v>
      </c>
      <c r="O101">
        <v>1184511.42</v>
      </c>
      <c r="P101">
        <v>24907050</v>
      </c>
      <c r="Q101">
        <v>86873.83</v>
      </c>
      <c r="R101">
        <v>19518.11</v>
      </c>
      <c r="S101">
        <v>227814.62</v>
      </c>
      <c r="T101">
        <v>902793.02</v>
      </c>
      <c r="U101">
        <v>71</v>
      </c>
      <c r="V101">
        <v>206845.58</v>
      </c>
      <c r="W101">
        <v>62373.14</v>
      </c>
      <c r="X101">
        <v>304648.07</v>
      </c>
      <c r="Y101">
        <v>3742752.68</v>
      </c>
      <c r="Z101">
        <v>86873.83</v>
      </c>
      <c r="AA101">
        <v>19518.11</v>
      </c>
      <c r="AB101">
        <v>227814.62</v>
      </c>
      <c r="AC101">
        <v>902793.02</v>
      </c>
      <c r="AD101">
        <v>1.06</v>
      </c>
      <c r="AE101">
        <v>1.43</v>
      </c>
      <c r="AF101">
        <v>1.69</v>
      </c>
      <c r="AG101">
        <v>2.94</v>
      </c>
      <c r="AH101">
        <v>0</v>
      </c>
      <c r="AI101">
        <v>0</v>
      </c>
      <c r="AJ101">
        <v>0</v>
      </c>
      <c r="AK101">
        <v>0</v>
      </c>
      <c r="AL101">
        <v>293719.40999999997</v>
      </c>
      <c r="AM101">
        <v>81891.25</v>
      </c>
      <c r="AN101">
        <v>532462.68999999994</v>
      </c>
      <c r="AO101">
        <v>4645545.7</v>
      </c>
      <c r="AP101">
        <v>441061.739999999</v>
      </c>
      <c r="AQ101">
        <v>91067.34</v>
      </c>
      <c r="AR101">
        <v>152997.12</v>
      </c>
      <c r="AS101">
        <v>-2558241.2599999998</v>
      </c>
      <c r="AT101">
        <v>32.205032000000003</v>
      </c>
      <c r="AU101">
        <v>31.271086071999999</v>
      </c>
      <c r="AV101">
        <v>30235544.056725699</v>
      </c>
      <c r="AW101">
        <v>94283396.140499994</v>
      </c>
      <c r="AX101">
        <v>3.1182966631462699</v>
      </c>
      <c r="AY101">
        <v>935380.738799999</v>
      </c>
      <c r="AZ101">
        <v>1.01058669028193</v>
      </c>
      <c r="BA101">
        <v>1061651.4634146299</v>
      </c>
      <c r="BB101">
        <v>1.14700976205858</v>
      </c>
      <c r="BC101">
        <v>24.3117064720625</v>
      </c>
    </row>
    <row r="102" spans="1:55" x14ac:dyDescent="0.2">
      <c r="A102" t="s">
        <v>254</v>
      </c>
      <c r="B102" t="s">
        <v>255</v>
      </c>
      <c r="C102">
        <v>1200</v>
      </c>
      <c r="D102">
        <v>100</v>
      </c>
      <c r="E102">
        <v>300</v>
      </c>
      <c r="F102">
        <v>250</v>
      </c>
      <c r="G102">
        <v>250</v>
      </c>
      <c r="H102">
        <v>0</v>
      </c>
      <c r="I102">
        <v>2100</v>
      </c>
      <c r="J102">
        <v>38030.15</v>
      </c>
      <c r="K102">
        <v>477774.76</v>
      </c>
      <c r="L102">
        <v>334442.33</v>
      </c>
      <c r="M102">
        <v>78801.210000000006</v>
      </c>
      <c r="N102">
        <v>226487.89</v>
      </c>
      <c r="O102">
        <v>589626</v>
      </c>
      <c r="P102">
        <v>30915000</v>
      </c>
      <c r="Q102">
        <v>93340.97</v>
      </c>
      <c r="R102">
        <v>11666.14</v>
      </c>
      <c r="S102">
        <v>49659.32</v>
      </c>
      <c r="T102">
        <v>398728.9</v>
      </c>
      <c r="U102">
        <v>65</v>
      </c>
      <c r="V102">
        <v>0</v>
      </c>
      <c r="W102">
        <v>0</v>
      </c>
      <c r="X102">
        <v>0</v>
      </c>
      <c r="Y102">
        <v>0</v>
      </c>
      <c r="Z102">
        <v>93340.97</v>
      </c>
      <c r="AA102">
        <v>11666.14</v>
      </c>
      <c r="AB102">
        <v>49659.32</v>
      </c>
      <c r="AC102">
        <v>398728.9</v>
      </c>
      <c r="AD102">
        <v>1.02</v>
      </c>
      <c r="AE102">
        <v>0.81</v>
      </c>
      <c r="AF102">
        <v>0.56999999999999995</v>
      </c>
      <c r="AG102">
        <v>0.73</v>
      </c>
      <c r="AH102">
        <v>141040</v>
      </c>
      <c r="AI102">
        <v>67240</v>
      </c>
      <c r="AJ102">
        <v>308320</v>
      </c>
      <c r="AK102">
        <v>6652660</v>
      </c>
      <c r="AL102">
        <v>93340.97</v>
      </c>
      <c r="AM102">
        <v>11666.14</v>
      </c>
      <c r="AN102">
        <v>49659.32</v>
      </c>
      <c r="AO102">
        <v>398728.9</v>
      </c>
      <c r="AP102">
        <v>193402.33</v>
      </c>
      <c r="AQ102">
        <v>11561.21</v>
      </c>
      <c r="AR102">
        <v>-81832.109999999899</v>
      </c>
      <c r="AS102">
        <v>-6063034</v>
      </c>
      <c r="AT102">
        <v>29.48348</v>
      </c>
      <c r="AU102">
        <v>28.628459079999999</v>
      </c>
      <c r="AV102">
        <v>13584203.833459999</v>
      </c>
      <c r="AW102">
        <v>117025950.15000001</v>
      </c>
      <c r="AX102">
        <v>8.6148552822615105</v>
      </c>
      <c r="AY102">
        <v>491349.538</v>
      </c>
      <c r="AZ102">
        <v>1.0284125055078199</v>
      </c>
      <c r="BA102">
        <v>559073.17073170701</v>
      </c>
      <c r="BB102">
        <v>1.1701605391036201</v>
      </c>
      <c r="BC102">
        <v>23.878042113323101</v>
      </c>
    </row>
    <row r="103" spans="1:55" x14ac:dyDescent="0.2">
      <c r="A103" t="s">
        <v>256</v>
      </c>
      <c r="B103" t="s">
        <v>257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0.7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0.7</v>
      </c>
      <c r="AQ103">
        <v>1</v>
      </c>
      <c r="AR103">
        <v>1</v>
      </c>
      <c r="AS103">
        <v>0</v>
      </c>
      <c r="AT103">
        <v>0.453592</v>
      </c>
      <c r="AU103">
        <v>0.44043783199999997</v>
      </c>
      <c r="AV103">
        <v>0</v>
      </c>
      <c r="AW103">
        <v>0</v>
      </c>
    </row>
    <row r="104" spans="1:55" x14ac:dyDescent="0.2">
      <c r="A104" t="s">
        <v>258</v>
      </c>
      <c r="B104" t="s">
        <v>259</v>
      </c>
      <c r="C104">
        <v>1000</v>
      </c>
      <c r="D104">
        <v>100</v>
      </c>
      <c r="E104">
        <v>200</v>
      </c>
      <c r="F104">
        <v>100</v>
      </c>
      <c r="G104">
        <v>0</v>
      </c>
      <c r="H104">
        <v>0</v>
      </c>
      <c r="I104">
        <v>1400</v>
      </c>
      <c r="J104">
        <v>29968.42</v>
      </c>
      <c r="K104">
        <v>380069.62</v>
      </c>
      <c r="L104">
        <v>266048.73</v>
      </c>
      <c r="M104">
        <v>63614.35</v>
      </c>
      <c r="N104">
        <v>190716.31</v>
      </c>
      <c r="O104">
        <v>495198</v>
      </c>
      <c r="P104">
        <v>20531000</v>
      </c>
      <c r="Q104">
        <v>78893.91</v>
      </c>
      <c r="R104">
        <v>7655.81</v>
      </c>
      <c r="S104">
        <v>69887.56</v>
      </c>
      <c r="T104">
        <v>287809.3</v>
      </c>
      <c r="U104">
        <v>68</v>
      </c>
      <c r="V104">
        <v>20837.5</v>
      </c>
      <c r="W104">
        <v>5174.5</v>
      </c>
      <c r="X104">
        <v>6449</v>
      </c>
      <c r="Y104">
        <v>701190</v>
      </c>
      <c r="Z104">
        <v>78893.91</v>
      </c>
      <c r="AA104">
        <v>7655.81</v>
      </c>
      <c r="AB104">
        <v>69887.56</v>
      </c>
      <c r="AC104">
        <v>287809.3</v>
      </c>
      <c r="AD104">
        <v>1.31</v>
      </c>
      <c r="AE104">
        <v>0.85</v>
      </c>
      <c r="AF104">
        <v>0.91</v>
      </c>
      <c r="AG104">
        <v>2.13</v>
      </c>
      <c r="AH104">
        <v>0</v>
      </c>
      <c r="AI104">
        <v>0</v>
      </c>
      <c r="AJ104">
        <v>0</v>
      </c>
      <c r="AK104">
        <v>0</v>
      </c>
      <c r="AL104">
        <v>99731.41</v>
      </c>
      <c r="AM104">
        <v>12830.31</v>
      </c>
      <c r="AN104">
        <v>76336.56</v>
      </c>
      <c r="AO104">
        <v>988999.3</v>
      </c>
      <c r="AP104">
        <v>245211.23</v>
      </c>
      <c r="AQ104">
        <v>58439.85</v>
      </c>
      <c r="AR104">
        <v>184267.31</v>
      </c>
      <c r="AS104">
        <v>-205992</v>
      </c>
      <c r="AT104">
        <v>30.844256000000001</v>
      </c>
      <c r="AU104">
        <v>29.949772576000001</v>
      </c>
      <c r="AV104">
        <v>12024833.689263999</v>
      </c>
      <c r="AW104">
        <v>77718252.709999993</v>
      </c>
      <c r="AX104">
        <v>6.4631457464054796</v>
      </c>
      <c r="AY104">
        <v>387191.98639999999</v>
      </c>
      <c r="AZ104">
        <v>1.01873963617507</v>
      </c>
      <c r="BA104">
        <v>441560.97560975602</v>
      </c>
      <c r="BB104">
        <v>1.1617897152888801</v>
      </c>
      <c r="BC104">
        <v>24.772282661290301</v>
      </c>
    </row>
    <row r="105" spans="1:55" x14ac:dyDescent="0.2">
      <c r="A105" t="s">
        <v>260</v>
      </c>
      <c r="B105" t="s">
        <v>261</v>
      </c>
      <c r="C105">
        <v>1340</v>
      </c>
      <c r="D105">
        <v>120</v>
      </c>
      <c r="E105">
        <v>750</v>
      </c>
      <c r="F105">
        <v>700</v>
      </c>
      <c r="G105">
        <v>0</v>
      </c>
      <c r="H105">
        <v>0</v>
      </c>
      <c r="I105">
        <v>2910</v>
      </c>
      <c r="J105">
        <v>50732.15</v>
      </c>
      <c r="K105">
        <v>608520.78</v>
      </c>
      <c r="L105">
        <v>425964.55</v>
      </c>
      <c r="M105">
        <v>102161.15</v>
      </c>
      <c r="N105">
        <v>256442.65</v>
      </c>
      <c r="O105">
        <v>660337.19999999995</v>
      </c>
      <c r="P105">
        <v>63373572</v>
      </c>
      <c r="Q105">
        <v>208568.68</v>
      </c>
      <c r="R105">
        <v>21090.07</v>
      </c>
      <c r="S105">
        <v>175431.14</v>
      </c>
      <c r="T105">
        <v>847519.82</v>
      </c>
      <c r="U105">
        <v>69</v>
      </c>
      <c r="V105">
        <v>113620</v>
      </c>
      <c r="W105">
        <v>57130</v>
      </c>
      <c r="X105">
        <v>313290</v>
      </c>
      <c r="Y105">
        <v>5930307.2400000002</v>
      </c>
      <c r="Z105">
        <v>208568.68</v>
      </c>
      <c r="AA105">
        <v>21090.07</v>
      </c>
      <c r="AB105">
        <v>175431.14</v>
      </c>
      <c r="AC105">
        <v>847519.82</v>
      </c>
      <c r="AD105">
        <v>1.1000000000000001</v>
      </c>
      <c r="AE105">
        <v>1.48</v>
      </c>
      <c r="AF105">
        <v>1.95</v>
      </c>
      <c r="AG105">
        <v>3.74</v>
      </c>
      <c r="AH105">
        <v>0</v>
      </c>
      <c r="AI105">
        <v>0</v>
      </c>
      <c r="AJ105">
        <v>0</v>
      </c>
      <c r="AK105">
        <v>0</v>
      </c>
      <c r="AL105">
        <v>322188.68</v>
      </c>
      <c r="AM105">
        <v>78220.070000000007</v>
      </c>
      <c r="AN105">
        <v>488721.14</v>
      </c>
      <c r="AO105">
        <v>6777827.0599999996</v>
      </c>
      <c r="AP105">
        <v>312344.55</v>
      </c>
      <c r="AQ105">
        <v>45031.1499999999</v>
      </c>
      <c r="AR105">
        <v>-56847.349999999897</v>
      </c>
      <c r="AS105">
        <v>-5269970.04</v>
      </c>
      <c r="AT105">
        <v>31.297847999999998</v>
      </c>
      <c r="AU105">
        <v>30.390210407999898</v>
      </c>
      <c r="AV105">
        <v>16194943.126423201</v>
      </c>
      <c r="AW105">
        <v>239894953.18452001</v>
      </c>
      <c r="AX105">
        <v>14.812954347033999</v>
      </c>
      <c r="AY105">
        <v>655459.37800000003</v>
      </c>
      <c r="AZ105">
        <v>1.07713557127827</v>
      </c>
      <c r="BA105">
        <v>726528.04878048704</v>
      </c>
      <c r="BB105">
        <v>1.19392479708004</v>
      </c>
      <c r="BC105">
        <v>25.4872950618796</v>
      </c>
    </row>
    <row r="106" spans="1:55" x14ac:dyDescent="0.2">
      <c r="A106" t="s">
        <v>262</v>
      </c>
      <c r="B106" t="s">
        <v>263</v>
      </c>
      <c r="C106">
        <v>1200</v>
      </c>
      <c r="D106">
        <v>150</v>
      </c>
      <c r="E106">
        <v>300</v>
      </c>
      <c r="F106">
        <v>225</v>
      </c>
      <c r="G106">
        <v>150</v>
      </c>
      <c r="H106">
        <v>0</v>
      </c>
      <c r="I106">
        <v>2025</v>
      </c>
      <c r="J106">
        <v>38707.519999999997</v>
      </c>
      <c r="K106">
        <v>486807.34</v>
      </c>
      <c r="L106">
        <v>340765.14</v>
      </c>
      <c r="M106">
        <v>80602.080000000002</v>
      </c>
      <c r="N106">
        <v>229650.13</v>
      </c>
      <c r="O106">
        <v>601155</v>
      </c>
      <c r="P106">
        <v>49567000</v>
      </c>
      <c r="Q106">
        <v>193902.38</v>
      </c>
      <c r="R106">
        <v>18798.759999999998</v>
      </c>
      <c r="S106">
        <v>125594.67</v>
      </c>
      <c r="T106">
        <v>772822.12</v>
      </c>
      <c r="U106">
        <v>69</v>
      </c>
      <c r="V106">
        <v>0</v>
      </c>
      <c r="W106">
        <v>0</v>
      </c>
      <c r="X106">
        <v>0</v>
      </c>
      <c r="Y106">
        <v>0</v>
      </c>
      <c r="Z106">
        <v>193902.38</v>
      </c>
      <c r="AA106">
        <v>18798.759999999998</v>
      </c>
      <c r="AB106">
        <v>125594.67</v>
      </c>
      <c r="AC106">
        <v>772822.12</v>
      </c>
      <c r="AD106">
        <v>1.1000000000000001</v>
      </c>
      <c r="AE106">
        <v>0.47</v>
      </c>
      <c r="AF106">
        <v>0.51</v>
      </c>
      <c r="AG106">
        <v>0.56999999999999995</v>
      </c>
      <c r="AH106">
        <v>42180</v>
      </c>
      <c r="AI106">
        <v>9990</v>
      </c>
      <c r="AJ106">
        <v>65490</v>
      </c>
      <c r="AK106">
        <v>753690</v>
      </c>
      <c r="AL106">
        <v>193902.38</v>
      </c>
      <c r="AM106">
        <v>18798.759999999998</v>
      </c>
      <c r="AN106">
        <v>125594.67</v>
      </c>
      <c r="AO106">
        <v>772822.12</v>
      </c>
      <c r="AP106">
        <v>298585.14</v>
      </c>
      <c r="AQ106">
        <v>70612.08</v>
      </c>
      <c r="AR106">
        <v>164160.13</v>
      </c>
      <c r="AS106">
        <v>-152534.99999999901</v>
      </c>
      <c r="AT106">
        <v>31.297847999999998</v>
      </c>
      <c r="AU106">
        <v>30.390210407999898</v>
      </c>
      <c r="AV106">
        <v>14974776.178541999</v>
      </c>
      <c r="AW106">
        <v>187631417.47</v>
      </c>
      <c r="AX106">
        <v>12.529831179638199</v>
      </c>
      <c r="AY106">
        <v>500101.15839999903</v>
      </c>
      <c r="AZ106">
        <v>1.0273081716475301</v>
      </c>
      <c r="BA106">
        <v>569533.53658536496</v>
      </c>
      <c r="BB106">
        <v>1.16993621457179</v>
      </c>
      <c r="BC106">
        <v>24.238385948835401</v>
      </c>
    </row>
    <row r="107" spans="1:55" x14ac:dyDescent="0.2">
      <c r="A107" t="s">
        <v>264</v>
      </c>
      <c r="B107" t="s">
        <v>265</v>
      </c>
      <c r="C107">
        <v>1038</v>
      </c>
      <c r="D107">
        <v>81</v>
      </c>
      <c r="E107">
        <v>418</v>
      </c>
      <c r="F107">
        <v>185</v>
      </c>
      <c r="G107">
        <v>415</v>
      </c>
      <c r="H107">
        <v>0</v>
      </c>
      <c r="I107">
        <v>2137</v>
      </c>
      <c r="J107">
        <v>35757.01</v>
      </c>
      <c r="K107">
        <v>450533.06</v>
      </c>
      <c r="L107">
        <v>315373.14</v>
      </c>
      <c r="M107">
        <v>73736.259999999995</v>
      </c>
      <c r="N107">
        <v>202750.37</v>
      </c>
      <c r="O107">
        <v>508758.3</v>
      </c>
      <c r="P107">
        <v>20052000</v>
      </c>
      <c r="Q107">
        <v>77025.84</v>
      </c>
      <c r="R107">
        <v>12111.24</v>
      </c>
      <c r="S107">
        <v>93282.59</v>
      </c>
      <c r="T107">
        <v>617640.86</v>
      </c>
      <c r="U107">
        <v>75</v>
      </c>
      <c r="V107">
        <v>32699.52</v>
      </c>
      <c r="W107">
        <v>12262.32</v>
      </c>
      <c r="X107">
        <v>40874.400000000001</v>
      </c>
      <c r="Y107">
        <v>1420158.32</v>
      </c>
      <c r="Z107">
        <v>77025.84</v>
      </c>
      <c r="AA107">
        <v>12111.24</v>
      </c>
      <c r="AB107">
        <v>93282.59</v>
      </c>
      <c r="AC107">
        <v>617640.86</v>
      </c>
      <c r="AD107">
        <v>1.06</v>
      </c>
      <c r="AE107">
        <v>1.46</v>
      </c>
      <c r="AF107">
        <v>1.0900000000000001</v>
      </c>
      <c r="AG107">
        <v>5.84</v>
      </c>
      <c r="AH107">
        <v>0</v>
      </c>
      <c r="AI107">
        <v>0</v>
      </c>
      <c r="AJ107">
        <v>0</v>
      </c>
      <c r="AK107">
        <v>0</v>
      </c>
      <c r="AL107">
        <v>109725.36</v>
      </c>
      <c r="AM107">
        <v>24373.559999999899</v>
      </c>
      <c r="AN107">
        <v>134156.99</v>
      </c>
      <c r="AO107">
        <v>2037799.18</v>
      </c>
      <c r="AP107">
        <v>282673.62</v>
      </c>
      <c r="AQ107">
        <v>61473.94</v>
      </c>
      <c r="AR107">
        <v>161875.96999999901</v>
      </c>
      <c r="AS107">
        <v>-911400.02</v>
      </c>
      <c r="AT107">
        <v>34.019399999999997</v>
      </c>
      <c r="AU107">
        <v>33.032837399999998</v>
      </c>
      <c r="AV107">
        <v>13491766.9434689</v>
      </c>
      <c r="AW107">
        <v>75905041.319999993</v>
      </c>
      <c r="AX107">
        <v>5.6260267197057896</v>
      </c>
      <c r="AY107">
        <v>461980.56920000003</v>
      </c>
      <c r="AZ107">
        <v>1.02540881062091</v>
      </c>
      <c r="BA107">
        <v>507430.12195121899</v>
      </c>
      <c r="BB107">
        <v>1.1262883171131</v>
      </c>
      <c r="BC107">
        <v>23.974838672750099</v>
      </c>
    </row>
    <row r="108" spans="1:55" x14ac:dyDescent="0.2">
      <c r="A108" t="s">
        <v>266</v>
      </c>
      <c r="B108" t="s">
        <v>267</v>
      </c>
      <c r="C108">
        <v>650</v>
      </c>
      <c r="D108">
        <v>50</v>
      </c>
      <c r="E108">
        <v>52</v>
      </c>
      <c r="F108">
        <v>50</v>
      </c>
      <c r="G108">
        <v>50</v>
      </c>
      <c r="H108">
        <v>0</v>
      </c>
      <c r="I108">
        <v>852</v>
      </c>
      <c r="J108">
        <v>14743.38</v>
      </c>
      <c r="K108">
        <v>189567.79</v>
      </c>
      <c r="L108">
        <v>132697.45000000001</v>
      </c>
      <c r="M108">
        <v>31498.27</v>
      </c>
      <c r="N108">
        <v>96016.95</v>
      </c>
      <c r="O108">
        <v>318420</v>
      </c>
      <c r="P108">
        <v>23358000</v>
      </c>
      <c r="Q108">
        <v>43756.15</v>
      </c>
      <c r="R108">
        <v>9702.5499999999993</v>
      </c>
      <c r="S108">
        <v>69683.67</v>
      </c>
      <c r="T108">
        <v>393411.76</v>
      </c>
      <c r="U108">
        <v>70</v>
      </c>
      <c r="V108">
        <v>144015.89000000001</v>
      </c>
      <c r="W108">
        <v>51529.120000000003</v>
      </c>
      <c r="X108">
        <v>141022.76999999999</v>
      </c>
      <c r="Y108">
        <v>4830855.34</v>
      </c>
      <c r="Z108">
        <v>43756.15</v>
      </c>
      <c r="AA108">
        <v>9702.5499999999993</v>
      </c>
      <c r="AB108">
        <v>69683.67</v>
      </c>
      <c r="AC108">
        <v>393411.76</v>
      </c>
      <c r="AD108">
        <v>0.57999999999999996</v>
      </c>
      <c r="AE108">
        <v>0.72</v>
      </c>
      <c r="AF108">
        <v>0.47</v>
      </c>
      <c r="AG108">
        <v>2.2400000000000002</v>
      </c>
      <c r="AH108">
        <v>0</v>
      </c>
      <c r="AI108">
        <v>0</v>
      </c>
      <c r="AJ108">
        <v>0</v>
      </c>
      <c r="AK108">
        <v>0</v>
      </c>
      <c r="AL108">
        <v>187772.04</v>
      </c>
      <c r="AM108">
        <v>61231.67</v>
      </c>
      <c r="AN108">
        <v>210706.44</v>
      </c>
      <c r="AO108">
        <v>5224267.0999999996</v>
      </c>
      <c r="AP108">
        <v>-11318.44</v>
      </c>
      <c r="AQ108">
        <v>-20030.849999999999</v>
      </c>
      <c r="AR108">
        <v>-45005.82</v>
      </c>
      <c r="AS108">
        <v>-4512435.34</v>
      </c>
      <c r="AT108">
        <v>31.751439999999999</v>
      </c>
      <c r="AU108">
        <v>30.830648239999999</v>
      </c>
      <c r="AV108">
        <v>7877230.6253199996</v>
      </c>
      <c r="AW108">
        <v>88419606.780000001</v>
      </c>
      <c r="AX108">
        <v>11.224707131944299</v>
      </c>
      <c r="AY108">
        <v>190484.46959999899</v>
      </c>
      <c r="AZ108">
        <v>1.00483562951279</v>
      </c>
      <c r="BA108">
        <v>271346.34146341402</v>
      </c>
      <c r="BB108">
        <v>1.4313947610161699</v>
      </c>
      <c r="BC108">
        <v>19.511897353131001</v>
      </c>
    </row>
    <row r="109" spans="1:55" x14ac:dyDescent="0.2">
      <c r="A109" t="s">
        <v>268</v>
      </c>
      <c r="B109" t="s">
        <v>269</v>
      </c>
      <c r="C109">
        <v>4852</v>
      </c>
      <c r="D109">
        <v>274</v>
      </c>
      <c r="E109">
        <v>2502</v>
      </c>
      <c r="F109">
        <v>1265</v>
      </c>
      <c r="G109">
        <v>962</v>
      </c>
      <c r="H109">
        <v>1110</v>
      </c>
      <c r="I109">
        <v>10965</v>
      </c>
      <c r="J109">
        <v>177337.77</v>
      </c>
      <c r="K109">
        <v>2183829.4900000002</v>
      </c>
      <c r="L109">
        <v>1528680.64</v>
      </c>
      <c r="M109">
        <v>357894.59</v>
      </c>
      <c r="N109">
        <v>947731.02</v>
      </c>
      <c r="O109">
        <v>2354002.2000000002</v>
      </c>
      <c r="P109">
        <v>217003123</v>
      </c>
      <c r="Q109">
        <v>731646.23</v>
      </c>
      <c r="R109">
        <v>117642.53</v>
      </c>
      <c r="S109">
        <v>793703.04</v>
      </c>
      <c r="T109">
        <v>4431225.3899999997</v>
      </c>
      <c r="U109">
        <v>75</v>
      </c>
      <c r="V109">
        <v>0</v>
      </c>
      <c r="W109">
        <v>0</v>
      </c>
      <c r="X109">
        <v>0</v>
      </c>
      <c r="Y109">
        <v>0</v>
      </c>
      <c r="Z109">
        <v>731646.23</v>
      </c>
      <c r="AA109">
        <v>117642.53</v>
      </c>
      <c r="AB109">
        <v>793703.04</v>
      </c>
      <c r="AC109">
        <v>4431225.3899999997</v>
      </c>
      <c r="AD109">
        <v>0.98</v>
      </c>
      <c r="AE109">
        <v>0.78</v>
      </c>
      <c r="AF109">
        <v>0.95</v>
      </c>
      <c r="AG109">
        <v>1.46</v>
      </c>
      <c r="AH109">
        <v>0</v>
      </c>
      <c r="AI109">
        <v>0</v>
      </c>
      <c r="AJ109">
        <v>0</v>
      </c>
      <c r="AK109">
        <v>0</v>
      </c>
      <c r="AL109">
        <v>731646.23</v>
      </c>
      <c r="AM109">
        <v>117642.53</v>
      </c>
      <c r="AN109">
        <v>793703.04</v>
      </c>
      <c r="AO109">
        <v>4431225.3899999997</v>
      </c>
      <c r="AP109">
        <v>1528680.64</v>
      </c>
      <c r="AQ109">
        <v>357894.58999999898</v>
      </c>
      <c r="AR109">
        <v>947731.02</v>
      </c>
      <c r="AS109">
        <v>2354002.2000000002</v>
      </c>
      <c r="AT109">
        <v>34.019399999999997</v>
      </c>
      <c r="AU109">
        <v>33.032837399999998</v>
      </c>
      <c r="AV109">
        <v>61804108.447025999</v>
      </c>
      <c r="AW109">
        <v>821445791.83543003</v>
      </c>
      <c r="AX109">
        <v>13.2911195141584</v>
      </c>
      <c r="AY109">
        <v>2291203.9883999899</v>
      </c>
      <c r="AZ109">
        <v>1.049167986279</v>
      </c>
      <c r="BA109">
        <v>2466251.58536585</v>
      </c>
      <c r="BB109">
        <v>1.1293242428765999</v>
      </c>
      <c r="BC109">
        <v>24.4192246877424</v>
      </c>
    </row>
    <row r="110" spans="1:55" x14ac:dyDescent="0.2">
      <c r="A110" t="s">
        <v>270</v>
      </c>
      <c r="B110" t="s">
        <v>271</v>
      </c>
      <c r="C110">
        <v>2100</v>
      </c>
      <c r="D110">
        <v>300</v>
      </c>
      <c r="E110">
        <v>900</v>
      </c>
      <c r="F110">
        <v>400</v>
      </c>
      <c r="G110">
        <v>350</v>
      </c>
      <c r="H110">
        <v>0</v>
      </c>
      <c r="I110">
        <v>4050</v>
      </c>
      <c r="J110">
        <v>76786.7</v>
      </c>
      <c r="K110">
        <v>951237.71</v>
      </c>
      <c r="L110">
        <v>665866.4</v>
      </c>
      <c r="M110">
        <v>157922.23000000001</v>
      </c>
      <c r="N110">
        <v>424023.41</v>
      </c>
      <c r="O110">
        <v>1060668</v>
      </c>
      <c r="P110">
        <v>22059150</v>
      </c>
      <c r="Q110">
        <v>107620.36</v>
      </c>
      <c r="R110">
        <v>14058.07</v>
      </c>
      <c r="S110">
        <v>194557.01</v>
      </c>
      <c r="T110">
        <v>977340.13</v>
      </c>
      <c r="U110">
        <v>85</v>
      </c>
      <c r="V110">
        <v>108518.87</v>
      </c>
      <c r="W110">
        <v>32402.04</v>
      </c>
      <c r="X110">
        <v>139349.47</v>
      </c>
      <c r="Y110">
        <v>4969617.3099999996</v>
      </c>
      <c r="Z110">
        <v>107620.36</v>
      </c>
      <c r="AA110">
        <v>14058.07</v>
      </c>
      <c r="AB110">
        <v>194557.01</v>
      </c>
      <c r="AC110">
        <v>977340.13</v>
      </c>
      <c r="AD110">
        <v>1.07</v>
      </c>
      <c r="AE110">
        <v>1.19</v>
      </c>
      <c r="AF110">
        <v>1.39</v>
      </c>
      <c r="AG110">
        <v>5.4</v>
      </c>
      <c r="AH110">
        <v>8124</v>
      </c>
      <c r="AI110">
        <v>1949.76</v>
      </c>
      <c r="AJ110">
        <v>6580.44</v>
      </c>
      <c r="AK110">
        <v>719786.4</v>
      </c>
      <c r="AL110">
        <v>216139.22999999899</v>
      </c>
      <c r="AM110">
        <v>46460.11</v>
      </c>
      <c r="AN110">
        <v>333906.48</v>
      </c>
      <c r="AO110">
        <v>5946957.4399999902</v>
      </c>
      <c r="AP110">
        <v>549223.53</v>
      </c>
      <c r="AQ110">
        <v>123570.43</v>
      </c>
      <c r="AR110">
        <v>278093.49999999901</v>
      </c>
      <c r="AS110">
        <v>-4628735.71</v>
      </c>
      <c r="AT110">
        <v>38.555320000000002</v>
      </c>
      <c r="AU110">
        <v>37.437215719999998</v>
      </c>
      <c r="AV110">
        <v>32795000.9707199</v>
      </c>
      <c r="AW110">
        <v>83502927.001499996</v>
      </c>
      <c r="AX110">
        <v>2.5462090114299101</v>
      </c>
      <c r="AY110">
        <v>992084.16399999999</v>
      </c>
      <c r="AZ110">
        <v>1.0429403224563001</v>
      </c>
      <c r="BA110">
        <v>1065176.82926829</v>
      </c>
      <c r="BB110">
        <v>1.11977985951407</v>
      </c>
      <c r="BC110">
        <v>25.564390580592701</v>
      </c>
    </row>
    <row r="111" spans="1:55" x14ac:dyDescent="0.2">
      <c r="A111" t="s">
        <v>272</v>
      </c>
      <c r="B111" t="s">
        <v>273</v>
      </c>
      <c r="C111">
        <v>0</v>
      </c>
      <c r="D111">
        <v>0</v>
      </c>
      <c r="E111">
        <v>0</v>
      </c>
      <c r="F111">
        <v>590</v>
      </c>
      <c r="G111">
        <v>0</v>
      </c>
      <c r="H111">
        <v>0</v>
      </c>
      <c r="I111">
        <v>590</v>
      </c>
      <c r="J111">
        <v>5795.8</v>
      </c>
      <c r="K111">
        <v>56144.4</v>
      </c>
      <c r="L111">
        <v>39301.08</v>
      </c>
      <c r="M111">
        <v>9501.36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39301.08</v>
      </c>
      <c r="AQ111">
        <v>9501.36</v>
      </c>
      <c r="AR111">
        <v>1</v>
      </c>
      <c r="AS111">
        <v>0</v>
      </c>
      <c r="AT111">
        <v>0.453592</v>
      </c>
      <c r="AU111">
        <v>0.44043783199999997</v>
      </c>
      <c r="AV111">
        <v>0</v>
      </c>
      <c r="AW111">
        <v>0</v>
      </c>
      <c r="AY111">
        <v>74881.736000000004</v>
      </c>
      <c r="AZ111">
        <v>1.3337347268828199</v>
      </c>
      <c r="BA111">
        <v>78786.585365853607</v>
      </c>
      <c r="BB111">
        <v>1.40328483991018</v>
      </c>
      <c r="BC111">
        <v>26.850598870056398</v>
      </c>
    </row>
    <row r="112" spans="1:55" x14ac:dyDescent="0.2">
      <c r="A112" t="s">
        <v>274</v>
      </c>
      <c r="B112" t="s">
        <v>275</v>
      </c>
      <c r="C112">
        <v>850</v>
      </c>
      <c r="D112">
        <v>100</v>
      </c>
      <c r="E112">
        <v>0</v>
      </c>
      <c r="F112">
        <v>0</v>
      </c>
      <c r="G112">
        <v>0</v>
      </c>
      <c r="H112">
        <v>0</v>
      </c>
      <c r="I112">
        <v>950</v>
      </c>
      <c r="J112">
        <v>22764.97</v>
      </c>
      <c r="K112">
        <v>297614.78000000003</v>
      </c>
      <c r="L112">
        <v>208330.35</v>
      </c>
      <c r="M112">
        <v>49606.58</v>
      </c>
      <c r="N112">
        <v>160428.92000000001</v>
      </c>
      <c r="O112">
        <v>424377</v>
      </c>
      <c r="P112">
        <v>32170000</v>
      </c>
      <c r="Q112">
        <v>102577.47</v>
      </c>
      <c r="R112">
        <v>10987.72</v>
      </c>
      <c r="S112">
        <v>82581.850000000006</v>
      </c>
      <c r="T112">
        <v>491623.39</v>
      </c>
      <c r="U112">
        <v>65</v>
      </c>
      <c r="V112">
        <v>86935.2</v>
      </c>
      <c r="W112">
        <v>40048.800000000003</v>
      </c>
      <c r="X112">
        <v>182661.6</v>
      </c>
      <c r="Y112">
        <v>4911192</v>
      </c>
      <c r="Z112">
        <v>102577.47</v>
      </c>
      <c r="AA112">
        <v>10987.72</v>
      </c>
      <c r="AB112">
        <v>82581.850000000006</v>
      </c>
      <c r="AC112">
        <v>491623.39</v>
      </c>
      <c r="AD112">
        <v>1.24</v>
      </c>
      <c r="AE112">
        <v>1.8</v>
      </c>
      <c r="AF112">
        <v>1.72</v>
      </c>
      <c r="AG112">
        <v>6.9</v>
      </c>
      <c r="AH112">
        <v>0</v>
      </c>
      <c r="AI112">
        <v>0</v>
      </c>
      <c r="AJ112">
        <v>0</v>
      </c>
      <c r="AK112">
        <v>0</v>
      </c>
      <c r="AL112">
        <v>189512.66999999899</v>
      </c>
      <c r="AM112">
        <v>51036.52</v>
      </c>
      <c r="AN112">
        <v>265243.45</v>
      </c>
      <c r="AO112">
        <v>5402815.3899999997</v>
      </c>
      <c r="AP112">
        <v>121395.15</v>
      </c>
      <c r="AQ112">
        <v>9557.7799999999897</v>
      </c>
      <c r="AR112">
        <v>-22232.679999999898</v>
      </c>
      <c r="AS112">
        <v>-4486815</v>
      </c>
      <c r="AT112">
        <v>29.48348</v>
      </c>
      <c r="AU112">
        <v>28.628459079999999</v>
      </c>
      <c r="AV112">
        <v>9926918.1859900001</v>
      </c>
      <c r="AW112">
        <v>121776639.7</v>
      </c>
      <c r="AX112">
        <v>12.2673157387219</v>
      </c>
      <c r="AY112">
        <v>294123.41239999997</v>
      </c>
      <c r="AZ112">
        <v>0.98826883664850196</v>
      </c>
      <c r="BA112">
        <v>346750</v>
      </c>
      <c r="BB112">
        <v>1.16509670655469</v>
      </c>
      <c r="BC112">
        <v>23.963126315789399</v>
      </c>
    </row>
    <row r="113" spans="1:55" x14ac:dyDescent="0.2">
      <c r="A113" t="s">
        <v>276</v>
      </c>
      <c r="B113" t="s">
        <v>277</v>
      </c>
      <c r="C113">
        <v>358</v>
      </c>
      <c r="D113">
        <v>59</v>
      </c>
      <c r="E113">
        <v>33</v>
      </c>
      <c r="F113">
        <v>46</v>
      </c>
      <c r="G113">
        <v>18</v>
      </c>
      <c r="H113">
        <v>3</v>
      </c>
      <c r="I113">
        <v>517</v>
      </c>
      <c r="J113">
        <v>10545.73</v>
      </c>
      <c r="K113">
        <v>134277.29</v>
      </c>
      <c r="L113">
        <v>93994.1</v>
      </c>
      <c r="M113">
        <v>22142.82</v>
      </c>
      <c r="N113">
        <v>66389.64</v>
      </c>
      <c r="O113">
        <v>182630.34</v>
      </c>
      <c r="P113">
        <v>1584000</v>
      </c>
      <c r="Q113">
        <v>2154.0100000000002</v>
      </c>
      <c r="R113">
        <v>981.05</v>
      </c>
      <c r="S113">
        <v>8722.39</v>
      </c>
      <c r="T113">
        <v>35593.760000000002</v>
      </c>
      <c r="U113">
        <v>60</v>
      </c>
      <c r="V113">
        <v>62280.480000000003</v>
      </c>
      <c r="W113">
        <v>21185.82</v>
      </c>
      <c r="X113">
        <v>72060.58</v>
      </c>
      <c r="Y113">
        <v>752731.28</v>
      </c>
      <c r="Z113">
        <v>2154.0100000000002</v>
      </c>
      <c r="AA113">
        <v>981.05</v>
      </c>
      <c r="AB113">
        <v>8722.39</v>
      </c>
      <c r="AC113">
        <v>35593.760000000002</v>
      </c>
      <c r="AD113">
        <v>0.93</v>
      </c>
      <c r="AE113">
        <v>1.2</v>
      </c>
      <c r="AF113">
        <v>0.94</v>
      </c>
      <c r="AG113">
        <v>2.61</v>
      </c>
      <c r="AH113">
        <v>0</v>
      </c>
      <c r="AI113">
        <v>0</v>
      </c>
      <c r="AJ113">
        <v>0</v>
      </c>
      <c r="AK113">
        <v>0</v>
      </c>
      <c r="AL113">
        <v>64434.49</v>
      </c>
      <c r="AM113">
        <v>22166.87</v>
      </c>
      <c r="AN113">
        <v>80782.97</v>
      </c>
      <c r="AO113">
        <v>788325.04</v>
      </c>
      <c r="AP113">
        <v>31713.619999999901</v>
      </c>
      <c r="AQ113">
        <v>957</v>
      </c>
      <c r="AR113">
        <v>-5670.94</v>
      </c>
      <c r="AS113">
        <v>-570100.93999999994</v>
      </c>
      <c r="AT113">
        <v>27.215519999999898</v>
      </c>
      <c r="AU113">
        <v>26.4262699199999</v>
      </c>
      <c r="AV113">
        <v>4022210.4131735899</v>
      </c>
      <c r="AW113">
        <v>5996089.4400000004</v>
      </c>
      <c r="AX113">
        <v>1.49074484526257</v>
      </c>
      <c r="AY113">
        <v>136250.8316</v>
      </c>
      <c r="AZ113">
        <v>1.0146975084170899</v>
      </c>
      <c r="BA113">
        <v>163689.146341463</v>
      </c>
      <c r="BB113">
        <v>1.21903820326924</v>
      </c>
      <c r="BC113">
        <v>23.249713932354599</v>
      </c>
    </row>
    <row r="114" spans="1:55" x14ac:dyDescent="0.2">
      <c r="A114" t="s">
        <v>278</v>
      </c>
      <c r="B114" t="s">
        <v>279</v>
      </c>
      <c r="C114">
        <v>233</v>
      </c>
      <c r="D114">
        <v>22</v>
      </c>
      <c r="E114">
        <v>46</v>
      </c>
      <c r="F114">
        <v>0</v>
      </c>
      <c r="G114">
        <v>0</v>
      </c>
      <c r="H114">
        <v>0</v>
      </c>
      <c r="I114">
        <v>301</v>
      </c>
      <c r="J114">
        <v>6935.6</v>
      </c>
      <c r="K114">
        <v>88553.56</v>
      </c>
      <c r="L114">
        <v>61987.49</v>
      </c>
      <c r="M114">
        <v>14867.3</v>
      </c>
      <c r="N114">
        <v>45511.4</v>
      </c>
      <c r="O114">
        <v>115081.38</v>
      </c>
      <c r="P114">
        <v>24850989</v>
      </c>
      <c r="Q114">
        <v>28453.43</v>
      </c>
      <c r="R114">
        <v>3751.36</v>
      </c>
      <c r="S114">
        <v>35732.47</v>
      </c>
      <c r="T114">
        <v>180233.62</v>
      </c>
      <c r="U114">
        <v>75</v>
      </c>
      <c r="V114">
        <v>47153.26</v>
      </c>
      <c r="W114">
        <v>13800.64</v>
      </c>
      <c r="X114">
        <v>46411.12</v>
      </c>
      <c r="Y114">
        <v>673873.2</v>
      </c>
      <c r="Z114">
        <v>28453.43</v>
      </c>
      <c r="AA114">
        <v>3751.36</v>
      </c>
      <c r="AB114">
        <v>35732.47</v>
      </c>
      <c r="AC114">
        <v>180233.62</v>
      </c>
      <c r="AD114">
        <v>1.27</v>
      </c>
      <c r="AE114">
        <v>1.23</v>
      </c>
      <c r="AF114">
        <v>1.1399999999999999</v>
      </c>
      <c r="AG114">
        <v>3.89</v>
      </c>
      <c r="AH114">
        <v>0</v>
      </c>
      <c r="AI114">
        <v>0</v>
      </c>
      <c r="AJ114">
        <v>0</v>
      </c>
      <c r="AK114">
        <v>0</v>
      </c>
      <c r="AL114">
        <v>75606.69</v>
      </c>
      <c r="AM114">
        <v>17552</v>
      </c>
      <c r="AN114">
        <v>82143.59</v>
      </c>
      <c r="AO114">
        <v>854106.82</v>
      </c>
      <c r="AP114">
        <v>14834.2299999999</v>
      </c>
      <c r="AQ114">
        <v>1066.6599999999901</v>
      </c>
      <c r="AR114">
        <v>-899.72000000000105</v>
      </c>
      <c r="AS114">
        <v>-558791.81999999995</v>
      </c>
      <c r="AT114">
        <v>34.019399999999997</v>
      </c>
      <c r="AU114">
        <v>33.032837399999998</v>
      </c>
      <c r="AV114">
        <v>3074531.3410049998</v>
      </c>
      <c r="AW114">
        <v>94071182.270490006</v>
      </c>
      <c r="AX114">
        <v>30.596917655664502</v>
      </c>
      <c r="AY114">
        <v>89607.952000000005</v>
      </c>
      <c r="AZ114">
        <v>1.0119068279129599</v>
      </c>
      <c r="BA114">
        <v>99217.682926829206</v>
      </c>
      <c r="BB114">
        <v>1.1204256827938801</v>
      </c>
      <c r="BC114">
        <v>25.5145446388515</v>
      </c>
    </row>
    <row r="115" spans="1:55" x14ac:dyDescent="0.2">
      <c r="A115" t="s">
        <v>280</v>
      </c>
      <c r="B115" t="s">
        <v>281</v>
      </c>
      <c r="C115">
        <v>1202</v>
      </c>
      <c r="D115">
        <v>132</v>
      </c>
      <c r="E115">
        <v>271</v>
      </c>
      <c r="F115">
        <v>241</v>
      </c>
      <c r="G115">
        <v>177</v>
      </c>
      <c r="H115">
        <v>0</v>
      </c>
      <c r="I115">
        <v>2023</v>
      </c>
      <c r="J115">
        <v>39346.89</v>
      </c>
      <c r="K115">
        <v>495426.11</v>
      </c>
      <c r="L115">
        <v>346798.28</v>
      </c>
      <c r="M115">
        <v>82209.45</v>
      </c>
      <c r="N115">
        <v>234784.15</v>
      </c>
      <c r="O115">
        <v>597948.84</v>
      </c>
      <c r="P115">
        <v>48539794</v>
      </c>
      <c r="Q115">
        <v>229838.07999999999</v>
      </c>
      <c r="R115">
        <v>38087.9</v>
      </c>
      <c r="S115">
        <v>320049.21000000002</v>
      </c>
      <c r="T115">
        <v>1600618.47</v>
      </c>
      <c r="U115">
        <v>75</v>
      </c>
      <c r="V115">
        <v>0</v>
      </c>
      <c r="W115">
        <v>0</v>
      </c>
      <c r="X115">
        <v>0</v>
      </c>
      <c r="Y115">
        <v>0</v>
      </c>
      <c r="Z115">
        <v>229838.07999999999</v>
      </c>
      <c r="AA115">
        <v>38087.9</v>
      </c>
      <c r="AB115">
        <v>320049.21000000002</v>
      </c>
      <c r="AC115">
        <v>1600618.47</v>
      </c>
      <c r="AD115">
        <v>1.0900000000000001</v>
      </c>
      <c r="AE115">
        <v>1.03</v>
      </c>
      <c r="AF115">
        <v>1.36</v>
      </c>
      <c r="AG115">
        <v>1.99</v>
      </c>
      <c r="AH115">
        <v>0</v>
      </c>
      <c r="AI115">
        <v>0</v>
      </c>
      <c r="AJ115">
        <v>0</v>
      </c>
      <c r="AK115">
        <v>0</v>
      </c>
      <c r="AL115">
        <v>229838.07999999999</v>
      </c>
      <c r="AM115">
        <v>38087.9</v>
      </c>
      <c r="AN115">
        <v>320049.21000000002</v>
      </c>
      <c r="AO115">
        <v>1600618.47</v>
      </c>
      <c r="AP115">
        <v>346798.28</v>
      </c>
      <c r="AQ115">
        <v>82209.45</v>
      </c>
      <c r="AR115">
        <v>234784.149999999</v>
      </c>
      <c r="AS115">
        <v>597948.84</v>
      </c>
      <c r="AT115">
        <v>34.019399999999997</v>
      </c>
      <c r="AU115">
        <v>33.032837399999998</v>
      </c>
      <c r="AV115">
        <v>16084018.858433999</v>
      </c>
      <c r="AW115">
        <v>183743021.60554001</v>
      </c>
      <c r="AX115">
        <v>11.4239496498221</v>
      </c>
      <c r="AY115">
        <v>508361.81880000001</v>
      </c>
      <c r="AZ115">
        <v>1.0261102685928201</v>
      </c>
      <c r="BA115">
        <v>563159.39024390199</v>
      </c>
      <c r="BB115">
        <v>1.13671721953431</v>
      </c>
      <c r="BC115">
        <v>24.807739470082499</v>
      </c>
    </row>
    <row r="116" spans="1:55" x14ac:dyDescent="0.2">
      <c r="A116" t="s">
        <v>282</v>
      </c>
      <c r="B116" t="s">
        <v>283</v>
      </c>
      <c r="C116">
        <v>575</v>
      </c>
      <c r="D116">
        <v>1065</v>
      </c>
      <c r="E116">
        <v>385</v>
      </c>
      <c r="F116">
        <v>0</v>
      </c>
      <c r="G116">
        <v>0</v>
      </c>
      <c r="H116">
        <v>0</v>
      </c>
      <c r="I116">
        <v>2025</v>
      </c>
      <c r="J116">
        <v>34428.53</v>
      </c>
      <c r="K116">
        <v>424903.5</v>
      </c>
      <c r="L116">
        <v>297432.45</v>
      </c>
      <c r="M116">
        <v>64662.879999999997</v>
      </c>
      <c r="N116">
        <v>110419.5</v>
      </c>
      <c r="O116">
        <v>517048.2</v>
      </c>
      <c r="P116">
        <v>25406028</v>
      </c>
      <c r="Q116">
        <v>79263.710000000006</v>
      </c>
      <c r="R116">
        <v>9752.02</v>
      </c>
      <c r="S116">
        <v>98288.29</v>
      </c>
      <c r="T116">
        <v>630721.25</v>
      </c>
      <c r="U116">
        <v>70</v>
      </c>
      <c r="V116">
        <v>0</v>
      </c>
      <c r="W116">
        <v>0</v>
      </c>
      <c r="X116">
        <v>0</v>
      </c>
      <c r="Y116">
        <v>0</v>
      </c>
      <c r="Z116">
        <v>79263.710000000006</v>
      </c>
      <c r="AA116">
        <v>9752.02</v>
      </c>
      <c r="AB116">
        <v>98288.29</v>
      </c>
      <c r="AC116">
        <v>630721.25</v>
      </c>
      <c r="AD116">
        <v>1.33</v>
      </c>
      <c r="AE116">
        <v>0.77</v>
      </c>
      <c r="AF116">
        <v>1.17</v>
      </c>
      <c r="AG116">
        <v>2.3199999999999998</v>
      </c>
      <c r="AH116">
        <v>0</v>
      </c>
      <c r="AI116">
        <v>0</v>
      </c>
      <c r="AJ116">
        <v>0</v>
      </c>
      <c r="AK116">
        <v>0</v>
      </c>
      <c r="AL116">
        <v>79263.710000000006</v>
      </c>
      <c r="AM116">
        <v>9752.02</v>
      </c>
      <c r="AN116">
        <v>98288.29</v>
      </c>
      <c r="AO116">
        <v>630721.25</v>
      </c>
      <c r="AP116">
        <v>297432.45</v>
      </c>
      <c r="AQ116">
        <v>64662.879999999903</v>
      </c>
      <c r="AR116">
        <v>110419.499999999</v>
      </c>
      <c r="AS116">
        <v>517048.19999999902</v>
      </c>
      <c r="AT116">
        <v>31.751439999999999</v>
      </c>
      <c r="AU116">
        <v>30.830648239999999</v>
      </c>
      <c r="AV116">
        <v>18455226.036463998</v>
      </c>
      <c r="AW116">
        <v>96172232.451480001</v>
      </c>
      <c r="AX116">
        <v>5.2111110566439001</v>
      </c>
      <c r="AY116">
        <v>444816.60759999999</v>
      </c>
      <c r="AZ116">
        <v>1.0468650119380001</v>
      </c>
      <c r="BA116">
        <v>650011.58536585304</v>
      </c>
      <c r="BB116">
        <v>1.5297863758850001</v>
      </c>
      <c r="BC116">
        <v>19.332599191946802</v>
      </c>
    </row>
    <row r="117" spans="1:55" x14ac:dyDescent="0.2">
      <c r="A117" t="s">
        <v>284</v>
      </c>
      <c r="B117" t="s">
        <v>285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17.55</v>
      </c>
      <c r="K117">
        <v>230.13</v>
      </c>
      <c r="L117">
        <v>161.09</v>
      </c>
      <c r="M117">
        <v>37.409999999999997</v>
      </c>
      <c r="N117">
        <v>146.58000000000001</v>
      </c>
      <c r="O117">
        <v>472.14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0.03</v>
      </c>
      <c r="AE117">
        <v>0</v>
      </c>
      <c r="AF117">
        <v>0</v>
      </c>
      <c r="AG117">
        <v>0.03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161.09</v>
      </c>
      <c r="AQ117">
        <v>37.409999999999997</v>
      </c>
      <c r="AR117">
        <v>146.58000000000001</v>
      </c>
      <c r="AS117">
        <v>472.14</v>
      </c>
      <c r="AT117">
        <v>0.453592</v>
      </c>
      <c r="AU117">
        <v>0.44043783199999997</v>
      </c>
      <c r="AV117">
        <v>160.75980867999999</v>
      </c>
      <c r="AW117">
        <v>0</v>
      </c>
      <c r="AY117">
        <v>226.74600000000001</v>
      </c>
      <c r="AZ117">
        <v>0.98529526789206101</v>
      </c>
      <c r="BA117">
        <v>365</v>
      </c>
      <c r="BB117">
        <v>1.5860600530135101</v>
      </c>
      <c r="BC117">
        <v>17.55</v>
      </c>
    </row>
    <row r="118" spans="1:55" x14ac:dyDescent="0.2">
      <c r="A118" t="s">
        <v>286</v>
      </c>
      <c r="B118" t="s">
        <v>287</v>
      </c>
      <c r="C118">
        <v>330</v>
      </c>
      <c r="D118">
        <v>28</v>
      </c>
      <c r="E118">
        <v>50</v>
      </c>
      <c r="F118">
        <v>66</v>
      </c>
      <c r="G118">
        <v>32</v>
      </c>
      <c r="H118">
        <v>0</v>
      </c>
      <c r="I118">
        <v>506</v>
      </c>
      <c r="J118">
        <v>10355.74</v>
      </c>
      <c r="K118">
        <v>131319.69</v>
      </c>
      <c r="L118">
        <v>91923.78</v>
      </c>
      <c r="M118">
        <v>21915.21</v>
      </c>
      <c r="N118">
        <v>64458.21</v>
      </c>
      <c r="O118">
        <v>162262.44</v>
      </c>
      <c r="P118">
        <v>7986324</v>
      </c>
      <c r="Q118">
        <v>26971.79</v>
      </c>
      <c r="R118">
        <v>3188.27</v>
      </c>
      <c r="S118">
        <v>35497.879999999997</v>
      </c>
      <c r="T118">
        <v>225538.11</v>
      </c>
      <c r="U118">
        <v>75</v>
      </c>
      <c r="V118">
        <v>0</v>
      </c>
      <c r="W118">
        <v>0</v>
      </c>
      <c r="X118">
        <v>0</v>
      </c>
      <c r="Y118">
        <v>0</v>
      </c>
      <c r="Z118">
        <v>26971.79</v>
      </c>
      <c r="AA118">
        <v>3188.27</v>
      </c>
      <c r="AB118">
        <v>35497.879999999997</v>
      </c>
      <c r="AC118">
        <v>225538.11</v>
      </c>
      <c r="AD118">
        <v>1.26</v>
      </c>
      <c r="AE118">
        <v>0.66</v>
      </c>
      <c r="AF118">
        <v>1.41</v>
      </c>
      <c r="AG118">
        <v>2.57</v>
      </c>
      <c r="AH118">
        <v>0</v>
      </c>
      <c r="AI118">
        <v>0</v>
      </c>
      <c r="AJ118">
        <v>0</v>
      </c>
      <c r="AK118">
        <v>0</v>
      </c>
      <c r="AL118">
        <v>26971.79</v>
      </c>
      <c r="AM118">
        <v>3188.27</v>
      </c>
      <c r="AN118">
        <v>35497.879999999997</v>
      </c>
      <c r="AO118">
        <v>225538.11</v>
      </c>
      <c r="AP118">
        <v>91923.78</v>
      </c>
      <c r="AQ118">
        <v>21915.21</v>
      </c>
      <c r="AR118">
        <v>64458.21</v>
      </c>
      <c r="AS118">
        <v>162262.44</v>
      </c>
      <c r="AT118">
        <v>34.019399999999997</v>
      </c>
      <c r="AU118">
        <v>33.032837399999998</v>
      </c>
      <c r="AV118">
        <v>4316400.8630579999</v>
      </c>
      <c r="AW118">
        <v>30231510.732840002</v>
      </c>
      <c r="AX118">
        <v>7.0038700509901597</v>
      </c>
      <c r="AY118">
        <v>133796.16079999899</v>
      </c>
      <c r="AZ118">
        <v>1.0188583357149199</v>
      </c>
      <c r="BA118">
        <v>147584.63414634101</v>
      </c>
      <c r="BB118">
        <v>1.1238576191151599</v>
      </c>
      <c r="BC118">
        <v>25.126366433897498</v>
      </c>
    </row>
    <row r="119" spans="1:55" x14ac:dyDescent="0.2">
      <c r="A119" t="s">
        <v>288</v>
      </c>
      <c r="B119" t="s">
        <v>289</v>
      </c>
      <c r="C119">
        <v>1</v>
      </c>
      <c r="D119">
        <v>0</v>
      </c>
      <c r="E119">
        <v>68</v>
      </c>
      <c r="F119">
        <v>50</v>
      </c>
      <c r="G119">
        <v>0</v>
      </c>
      <c r="H119">
        <v>0</v>
      </c>
      <c r="I119">
        <v>119</v>
      </c>
      <c r="J119">
        <v>1222.04</v>
      </c>
      <c r="K119">
        <v>11572.87</v>
      </c>
      <c r="L119">
        <v>8101.01</v>
      </c>
      <c r="M119">
        <v>1958.62</v>
      </c>
      <c r="N119">
        <v>195.33</v>
      </c>
      <c r="O119">
        <v>472.14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8101.01</v>
      </c>
      <c r="AQ119">
        <v>1958.62</v>
      </c>
      <c r="AR119">
        <v>195.33</v>
      </c>
      <c r="AS119">
        <v>472.14</v>
      </c>
      <c r="AT119">
        <v>34.019399999999997</v>
      </c>
      <c r="AU119">
        <v>33.032837399999998</v>
      </c>
      <c r="AV119">
        <v>12056.985650999901</v>
      </c>
      <c r="AW119">
        <v>0</v>
      </c>
      <c r="AY119">
        <v>15788.756799999999</v>
      </c>
      <c r="AZ119">
        <v>1.3642905173911</v>
      </c>
      <c r="BA119">
        <v>16122.3170731707</v>
      </c>
      <c r="BB119">
        <v>1.39311312346641</v>
      </c>
      <c r="BC119">
        <v>27.666283821093302</v>
      </c>
    </row>
    <row r="120" spans="1:55" x14ac:dyDescent="0.2">
      <c r="A120" t="s">
        <v>290</v>
      </c>
      <c r="B120" t="s">
        <v>291</v>
      </c>
      <c r="C120">
        <v>490</v>
      </c>
      <c r="D120">
        <v>40</v>
      </c>
      <c r="E120">
        <v>53</v>
      </c>
      <c r="F120">
        <v>37</v>
      </c>
      <c r="G120">
        <v>0</v>
      </c>
      <c r="H120">
        <v>0</v>
      </c>
      <c r="I120">
        <v>620</v>
      </c>
      <c r="J120">
        <v>13862.51</v>
      </c>
      <c r="K120">
        <v>178409.05</v>
      </c>
      <c r="L120">
        <v>124886.34</v>
      </c>
      <c r="M120">
        <v>29897.07</v>
      </c>
      <c r="N120">
        <v>93128.18</v>
      </c>
      <c r="O120">
        <v>240571.8</v>
      </c>
      <c r="P120">
        <v>4272000</v>
      </c>
      <c r="Q120">
        <v>9547.0300000000007</v>
      </c>
      <c r="R120">
        <v>2999.35</v>
      </c>
      <c r="S120">
        <v>18723.78</v>
      </c>
      <c r="T120">
        <v>109172.63</v>
      </c>
      <c r="U120">
        <v>67</v>
      </c>
      <c r="V120">
        <v>13992</v>
      </c>
      <c r="W120">
        <v>5342.4</v>
      </c>
      <c r="X120">
        <v>17553.599999999999</v>
      </c>
      <c r="Y120">
        <v>0</v>
      </c>
      <c r="Z120">
        <v>9547.0300000000007</v>
      </c>
      <c r="AA120">
        <v>2999.35</v>
      </c>
      <c r="AB120">
        <v>18723.78</v>
      </c>
      <c r="AC120">
        <v>109172.63</v>
      </c>
      <c r="AD120">
        <v>1.02</v>
      </c>
      <c r="AE120">
        <v>0.28000000000000003</v>
      </c>
      <c r="AF120">
        <v>0.36</v>
      </c>
      <c r="AG120">
        <v>0.88</v>
      </c>
      <c r="AH120">
        <v>0</v>
      </c>
      <c r="AI120">
        <v>0</v>
      </c>
      <c r="AJ120">
        <v>0</v>
      </c>
      <c r="AK120">
        <v>0</v>
      </c>
      <c r="AL120">
        <v>23539.03</v>
      </c>
      <c r="AM120">
        <v>8341.75</v>
      </c>
      <c r="AN120">
        <v>36277.379999999997</v>
      </c>
      <c r="AO120">
        <v>109172.63</v>
      </c>
      <c r="AP120">
        <v>110894.34</v>
      </c>
      <c r="AQ120">
        <v>24554.67</v>
      </c>
      <c r="AR120">
        <v>75574.5799999999</v>
      </c>
      <c r="AS120">
        <v>240571.8</v>
      </c>
      <c r="AT120">
        <v>30.390664000000001</v>
      </c>
      <c r="AU120">
        <v>29.509334744</v>
      </c>
      <c r="AV120">
        <v>5708580.8062268002</v>
      </c>
      <c r="AW120">
        <v>16171271.52</v>
      </c>
      <c r="AX120">
        <v>2.8328006677878101</v>
      </c>
      <c r="AY120">
        <v>179103.6292</v>
      </c>
      <c r="AZ120">
        <v>1.00389318366977</v>
      </c>
      <c r="BA120">
        <v>205468.292682926</v>
      </c>
      <c r="BB120">
        <v>1.15166967529352</v>
      </c>
      <c r="BC120">
        <v>24.625775996533701</v>
      </c>
    </row>
    <row r="121" spans="1:55" x14ac:dyDescent="0.2">
      <c r="A121" t="s">
        <v>292</v>
      </c>
      <c r="B121" t="s">
        <v>293</v>
      </c>
      <c r="C121">
        <v>1195</v>
      </c>
      <c r="D121">
        <v>185</v>
      </c>
      <c r="E121">
        <v>350</v>
      </c>
      <c r="F121">
        <v>750</v>
      </c>
      <c r="G121">
        <v>275</v>
      </c>
      <c r="H121">
        <v>270</v>
      </c>
      <c r="I121">
        <v>3025</v>
      </c>
      <c r="J121">
        <v>46267.44</v>
      </c>
      <c r="K121">
        <v>568334.04</v>
      </c>
      <c r="L121">
        <v>397833.83</v>
      </c>
      <c r="M121">
        <v>92193.41</v>
      </c>
      <c r="N121">
        <v>229480.52</v>
      </c>
      <c r="O121">
        <v>606864.6</v>
      </c>
      <c r="P121">
        <v>52176000</v>
      </c>
      <c r="Q121">
        <v>177595.02</v>
      </c>
      <c r="R121">
        <v>12364.56</v>
      </c>
      <c r="S121">
        <v>84712.21</v>
      </c>
      <c r="T121">
        <v>448519.75</v>
      </c>
      <c r="U121">
        <v>70</v>
      </c>
      <c r="V121">
        <v>28362.5</v>
      </c>
      <c r="W121">
        <v>14459</v>
      </c>
      <c r="X121">
        <v>70726.5</v>
      </c>
      <c r="Y121">
        <v>1614068.1</v>
      </c>
      <c r="Z121">
        <v>177595.02</v>
      </c>
      <c r="AA121">
        <v>12364.56</v>
      </c>
      <c r="AB121">
        <v>84712.21</v>
      </c>
      <c r="AC121">
        <v>448519.75</v>
      </c>
      <c r="AD121">
        <v>1.1200000000000001</v>
      </c>
      <c r="AE121">
        <v>0.78</v>
      </c>
      <c r="AF121">
        <v>0.63</v>
      </c>
      <c r="AG121">
        <v>2.16</v>
      </c>
      <c r="AH121">
        <v>0</v>
      </c>
      <c r="AI121">
        <v>0</v>
      </c>
      <c r="AJ121">
        <v>0</v>
      </c>
      <c r="AK121">
        <v>0</v>
      </c>
      <c r="AL121">
        <v>205957.52</v>
      </c>
      <c r="AM121">
        <v>26823.559999999899</v>
      </c>
      <c r="AN121">
        <v>155438.71</v>
      </c>
      <c r="AO121">
        <v>2062587.85</v>
      </c>
      <c r="AP121">
        <v>369471.32999999903</v>
      </c>
      <c r="AQ121">
        <v>77734.41</v>
      </c>
      <c r="AR121">
        <v>158754.019999999</v>
      </c>
      <c r="AS121">
        <v>-1007203.5</v>
      </c>
      <c r="AT121">
        <v>31.751439999999999</v>
      </c>
      <c r="AU121">
        <v>30.830648239999999</v>
      </c>
      <c r="AV121">
        <v>15529397.518487999</v>
      </c>
      <c r="AW121">
        <v>197507552.16</v>
      </c>
      <c r="AX121">
        <v>12.7183010110253</v>
      </c>
      <c r="AY121">
        <v>597775.32479999994</v>
      </c>
      <c r="AZ121">
        <v>1.0518027827437499</v>
      </c>
      <c r="BA121">
        <v>674849.39024390199</v>
      </c>
      <c r="BB121">
        <v>1.1874168055179299</v>
      </c>
      <c r="BC121">
        <v>23.345825364592901</v>
      </c>
    </row>
    <row r="122" spans="1:55" x14ac:dyDescent="0.2">
      <c r="A122" t="s">
        <v>294</v>
      </c>
      <c r="B122" t="s">
        <v>295</v>
      </c>
      <c r="C122">
        <v>1075</v>
      </c>
      <c r="D122">
        <v>80</v>
      </c>
      <c r="E122">
        <v>200</v>
      </c>
      <c r="F122">
        <v>200</v>
      </c>
      <c r="G122">
        <v>200</v>
      </c>
      <c r="H122">
        <v>200</v>
      </c>
      <c r="I122">
        <v>1955</v>
      </c>
      <c r="J122">
        <v>33972</v>
      </c>
      <c r="K122">
        <v>431413.24</v>
      </c>
      <c r="L122">
        <v>301989.27</v>
      </c>
      <c r="M122">
        <v>70418.559999999998</v>
      </c>
      <c r="N122">
        <v>205020.03</v>
      </c>
      <c r="O122">
        <v>525996.9</v>
      </c>
      <c r="P122">
        <v>43775000</v>
      </c>
      <c r="Q122">
        <v>120875.81</v>
      </c>
      <c r="R122">
        <v>10725.2</v>
      </c>
      <c r="S122">
        <v>71937.7</v>
      </c>
      <c r="T122">
        <v>300303.8</v>
      </c>
      <c r="U122">
        <v>68</v>
      </c>
      <c r="V122">
        <v>0</v>
      </c>
      <c r="W122">
        <v>0</v>
      </c>
      <c r="X122">
        <v>0</v>
      </c>
      <c r="Y122">
        <v>0</v>
      </c>
      <c r="Z122">
        <v>120875.81</v>
      </c>
      <c r="AA122">
        <v>10725.2</v>
      </c>
      <c r="AB122">
        <v>71937.7</v>
      </c>
      <c r="AC122">
        <v>300303.8</v>
      </c>
      <c r="AD122">
        <v>1.17</v>
      </c>
      <c r="AE122">
        <v>0.54</v>
      </c>
      <c r="AF122">
        <v>0.55000000000000004</v>
      </c>
      <c r="AG122">
        <v>0.53</v>
      </c>
      <c r="AH122">
        <v>0</v>
      </c>
      <c r="AI122">
        <v>0</v>
      </c>
      <c r="AJ122">
        <v>0</v>
      </c>
      <c r="AK122">
        <v>0</v>
      </c>
      <c r="AL122">
        <v>120875.81</v>
      </c>
      <c r="AM122">
        <v>10725.2</v>
      </c>
      <c r="AN122">
        <v>71937.7</v>
      </c>
      <c r="AO122">
        <v>300303.8</v>
      </c>
      <c r="AP122">
        <v>301989.27</v>
      </c>
      <c r="AQ122">
        <v>70418.559999999998</v>
      </c>
      <c r="AR122">
        <v>205020.02999999901</v>
      </c>
      <c r="AS122">
        <v>525996.89999999898</v>
      </c>
      <c r="AT122">
        <v>30.844256000000001</v>
      </c>
      <c r="AU122">
        <v>29.949772576000001</v>
      </c>
      <c r="AV122">
        <v>12626075.373727201</v>
      </c>
      <c r="AW122">
        <v>165706322.75</v>
      </c>
      <c r="AX122">
        <v>13.1241353979881</v>
      </c>
      <c r="AY122">
        <v>438918.24</v>
      </c>
      <c r="AZ122">
        <v>1.0173963135670101</v>
      </c>
      <c r="BA122">
        <v>492794.51219512202</v>
      </c>
      <c r="BB122">
        <v>1.14227952808106</v>
      </c>
      <c r="BC122">
        <v>23.466464493303</v>
      </c>
    </row>
    <row r="123" spans="1:55" x14ac:dyDescent="0.2">
      <c r="A123" t="s">
        <v>296</v>
      </c>
      <c r="B123" t="s">
        <v>297</v>
      </c>
      <c r="C123">
        <v>1035</v>
      </c>
      <c r="D123">
        <v>100</v>
      </c>
      <c r="E123">
        <v>125</v>
      </c>
      <c r="F123">
        <v>100</v>
      </c>
      <c r="G123">
        <v>100</v>
      </c>
      <c r="H123">
        <v>100</v>
      </c>
      <c r="I123">
        <v>1560</v>
      </c>
      <c r="J123">
        <v>30647.08</v>
      </c>
      <c r="K123">
        <v>393250.86</v>
      </c>
      <c r="L123">
        <v>275275.59999999998</v>
      </c>
      <c r="M123">
        <v>64811.28</v>
      </c>
      <c r="N123">
        <v>196709.52</v>
      </c>
      <c r="O123">
        <v>511722.9</v>
      </c>
      <c r="P123">
        <v>41802948</v>
      </c>
      <c r="Q123">
        <v>180907.14</v>
      </c>
      <c r="R123">
        <v>16864.830000000002</v>
      </c>
      <c r="S123">
        <v>143359.21</v>
      </c>
      <c r="T123">
        <v>671440.82</v>
      </c>
      <c r="U123">
        <v>67</v>
      </c>
      <c r="V123">
        <v>0</v>
      </c>
      <c r="W123">
        <v>0</v>
      </c>
      <c r="X123">
        <v>0</v>
      </c>
      <c r="Y123">
        <v>0</v>
      </c>
      <c r="Z123">
        <v>180907.14</v>
      </c>
      <c r="AA123">
        <v>16864.830000000002</v>
      </c>
      <c r="AB123">
        <v>143359.21</v>
      </c>
      <c r="AC123">
        <v>671440.82</v>
      </c>
      <c r="AD123">
        <v>1.23</v>
      </c>
      <c r="AE123">
        <v>0.56999999999999995</v>
      </c>
      <c r="AF123">
        <v>0.81</v>
      </c>
      <c r="AG123">
        <v>1.03</v>
      </c>
      <c r="AH123">
        <v>0</v>
      </c>
      <c r="AI123">
        <v>0</v>
      </c>
      <c r="AJ123">
        <v>0</v>
      </c>
      <c r="AK123">
        <v>0</v>
      </c>
      <c r="AL123">
        <v>180907.14</v>
      </c>
      <c r="AM123">
        <v>16864.830000000002</v>
      </c>
      <c r="AN123">
        <v>143359.21</v>
      </c>
      <c r="AO123">
        <v>671440.82</v>
      </c>
      <c r="AP123">
        <v>275275.59999999998</v>
      </c>
      <c r="AQ123">
        <v>64811.28</v>
      </c>
      <c r="AR123">
        <v>196709.52</v>
      </c>
      <c r="AS123">
        <v>511722.9</v>
      </c>
      <c r="AT123">
        <v>30.390664000000001</v>
      </c>
      <c r="AU123">
        <v>29.509334744</v>
      </c>
      <c r="AV123">
        <v>12224979.6510706</v>
      </c>
      <c r="AW123">
        <v>158241297.38868001</v>
      </c>
      <c r="AX123">
        <v>12.9440949519144</v>
      </c>
      <c r="AY123">
        <v>395960.27360000001</v>
      </c>
      <c r="AZ123">
        <v>1.00688978429697</v>
      </c>
      <c r="BA123">
        <v>453223.17073170701</v>
      </c>
      <c r="BB123">
        <v>1.1525039531552601</v>
      </c>
      <c r="BC123">
        <v>23.748446040446002</v>
      </c>
    </row>
    <row r="124" spans="1:55" x14ac:dyDescent="0.2">
      <c r="A124" t="s">
        <v>298</v>
      </c>
      <c r="B124" t="s">
        <v>299</v>
      </c>
      <c r="C124">
        <v>875</v>
      </c>
      <c r="D124">
        <v>95</v>
      </c>
      <c r="E124">
        <v>65</v>
      </c>
      <c r="F124">
        <v>77</v>
      </c>
      <c r="G124">
        <v>35</v>
      </c>
      <c r="H124">
        <v>0</v>
      </c>
      <c r="I124">
        <v>1147</v>
      </c>
      <c r="J124">
        <v>24584.5</v>
      </c>
      <c r="K124">
        <v>316182.05</v>
      </c>
      <c r="L124">
        <v>221327.44</v>
      </c>
      <c r="M124">
        <v>52544.7</v>
      </c>
      <c r="N124">
        <v>163418.07</v>
      </c>
      <c r="O124">
        <v>435027.6</v>
      </c>
      <c r="P124">
        <v>8856000</v>
      </c>
      <c r="Q124">
        <v>42040.08</v>
      </c>
      <c r="R124">
        <v>4320.46</v>
      </c>
      <c r="S124">
        <v>94788.52</v>
      </c>
      <c r="T124">
        <v>447205.21</v>
      </c>
      <c r="U124">
        <v>62</v>
      </c>
      <c r="V124">
        <v>0</v>
      </c>
      <c r="W124">
        <v>0</v>
      </c>
      <c r="X124">
        <v>0</v>
      </c>
      <c r="Y124">
        <v>0</v>
      </c>
      <c r="Z124">
        <v>42040.08</v>
      </c>
      <c r="AA124">
        <v>4320.46</v>
      </c>
      <c r="AB124">
        <v>94788.52</v>
      </c>
      <c r="AC124">
        <v>447205.21</v>
      </c>
      <c r="AD124">
        <v>0.89</v>
      </c>
      <c r="AE124">
        <v>0.16</v>
      </c>
      <c r="AF124">
        <v>0.89</v>
      </c>
      <c r="AG124">
        <v>1.52</v>
      </c>
      <c r="AH124">
        <v>0</v>
      </c>
      <c r="AI124">
        <v>0</v>
      </c>
      <c r="AJ124">
        <v>0</v>
      </c>
      <c r="AK124">
        <v>0</v>
      </c>
      <c r="AL124">
        <v>42040.08</v>
      </c>
      <c r="AM124">
        <v>4320.46</v>
      </c>
      <c r="AN124">
        <v>94788.52</v>
      </c>
      <c r="AO124">
        <v>447205.21</v>
      </c>
      <c r="AP124">
        <v>221327.44</v>
      </c>
      <c r="AQ124">
        <v>52544.7</v>
      </c>
      <c r="AR124">
        <v>163418.07</v>
      </c>
      <c r="AS124">
        <v>435027.6</v>
      </c>
      <c r="AT124">
        <v>28.122703999999999</v>
      </c>
      <c r="AU124">
        <v>27.307145583999901</v>
      </c>
      <c r="AV124">
        <v>9668094.8940151893</v>
      </c>
      <c r="AW124">
        <v>33523590.960000001</v>
      </c>
      <c r="AX124">
        <v>3.46744537858766</v>
      </c>
      <c r="AY124">
        <v>317631.74</v>
      </c>
      <c r="AZ124">
        <v>1.0045849851375099</v>
      </c>
      <c r="BA124">
        <v>374570.12195121899</v>
      </c>
      <c r="BB124">
        <v>1.1846659921118801</v>
      </c>
      <c r="BC124">
        <v>23.758738951090098</v>
      </c>
    </row>
    <row r="125" spans="1:55" x14ac:dyDescent="0.2">
      <c r="A125" t="s">
        <v>300</v>
      </c>
      <c r="B125" t="s">
        <v>301</v>
      </c>
      <c r="C125">
        <v>1050</v>
      </c>
      <c r="D125">
        <v>100</v>
      </c>
      <c r="E125">
        <v>200</v>
      </c>
      <c r="F125">
        <v>150</v>
      </c>
      <c r="G125">
        <v>0</v>
      </c>
      <c r="H125">
        <v>0</v>
      </c>
      <c r="I125">
        <v>1500</v>
      </c>
      <c r="J125">
        <v>30885.63</v>
      </c>
      <c r="K125">
        <v>401488.7</v>
      </c>
      <c r="L125">
        <v>281042.09000000003</v>
      </c>
      <c r="M125">
        <v>67237.929999999993</v>
      </c>
      <c r="N125">
        <v>200252.13</v>
      </c>
      <c r="O125">
        <v>518805</v>
      </c>
      <c r="P125">
        <v>43022400</v>
      </c>
      <c r="Q125">
        <v>157744.1</v>
      </c>
      <c r="R125">
        <v>18865.66</v>
      </c>
      <c r="S125">
        <v>165455.71</v>
      </c>
      <c r="T125">
        <v>900893.02</v>
      </c>
      <c r="U125">
        <v>68</v>
      </c>
      <c r="V125">
        <v>0</v>
      </c>
      <c r="W125">
        <v>0</v>
      </c>
      <c r="X125">
        <v>0</v>
      </c>
      <c r="Y125">
        <v>0</v>
      </c>
      <c r="Z125">
        <v>157744.1</v>
      </c>
      <c r="AA125">
        <v>18865.66</v>
      </c>
      <c r="AB125">
        <v>165455.71</v>
      </c>
      <c r="AC125">
        <v>900893.02</v>
      </c>
      <c r="AD125">
        <v>1.1599999999999999</v>
      </c>
      <c r="AE125">
        <v>0.81</v>
      </c>
      <c r="AF125">
        <v>1.19</v>
      </c>
      <c r="AG125">
        <v>1.65</v>
      </c>
      <c r="AH125">
        <v>0</v>
      </c>
      <c r="AI125">
        <v>0</v>
      </c>
      <c r="AJ125">
        <v>0</v>
      </c>
      <c r="AK125">
        <v>0</v>
      </c>
      <c r="AL125">
        <v>157744.1</v>
      </c>
      <c r="AM125">
        <v>18865.66</v>
      </c>
      <c r="AN125">
        <v>165455.71</v>
      </c>
      <c r="AO125">
        <v>900893.02</v>
      </c>
      <c r="AP125">
        <v>281042.09000000003</v>
      </c>
      <c r="AQ125">
        <v>67237.929999999993</v>
      </c>
      <c r="AR125">
        <v>200252.12999999899</v>
      </c>
      <c r="AS125">
        <v>518805</v>
      </c>
      <c r="AT125">
        <v>30.844256000000001</v>
      </c>
      <c r="AU125">
        <v>29.949772576000001</v>
      </c>
      <c r="AV125">
        <v>12571417.038775999</v>
      </c>
      <c r="AW125">
        <v>162857423.18399999</v>
      </c>
      <c r="AX125">
        <v>12.9545796374166</v>
      </c>
      <c r="AY125">
        <v>399042.33960000001</v>
      </c>
      <c r="AZ125">
        <v>0.99390677645472902</v>
      </c>
      <c r="BA125">
        <v>466487.80487804802</v>
      </c>
      <c r="BB125">
        <v>1.16189522862797</v>
      </c>
      <c r="BC125">
        <v>24.166237213740398</v>
      </c>
    </row>
    <row r="126" spans="1:55" x14ac:dyDescent="0.2">
      <c r="A126" t="s">
        <v>302</v>
      </c>
      <c r="B126" t="s">
        <v>303</v>
      </c>
      <c r="C126">
        <v>2070</v>
      </c>
      <c r="D126">
        <v>400</v>
      </c>
      <c r="E126">
        <v>621</v>
      </c>
      <c r="F126">
        <v>830</v>
      </c>
      <c r="G126">
        <v>300</v>
      </c>
      <c r="H126">
        <v>0</v>
      </c>
      <c r="I126">
        <v>4221</v>
      </c>
      <c r="J126">
        <v>70576.929999999993</v>
      </c>
      <c r="K126">
        <v>884567.57</v>
      </c>
      <c r="L126">
        <v>619197.30000000005</v>
      </c>
      <c r="M126">
        <v>144940.76</v>
      </c>
      <c r="N126">
        <v>381145.59999999998</v>
      </c>
      <c r="O126">
        <v>1069561.8</v>
      </c>
      <c r="P126">
        <v>34305000</v>
      </c>
      <c r="Q126">
        <v>124253.46</v>
      </c>
      <c r="R126">
        <v>33910.959999999999</v>
      </c>
      <c r="S126">
        <v>260363.75</v>
      </c>
      <c r="T126">
        <v>1106990.3700000001</v>
      </c>
      <c r="U126">
        <v>58</v>
      </c>
      <c r="V126">
        <v>38344.089999999997</v>
      </c>
      <c r="W126">
        <v>12170.62</v>
      </c>
      <c r="X126">
        <v>31778.89</v>
      </c>
      <c r="Y126">
        <v>629758.07999999996</v>
      </c>
      <c r="Z126">
        <v>146011.75</v>
      </c>
      <c r="AA126">
        <v>40256.58</v>
      </c>
      <c r="AB126">
        <v>303198.3</v>
      </c>
      <c r="AC126">
        <v>1295587.3700000001</v>
      </c>
      <c r="AD126">
        <v>1.2</v>
      </c>
      <c r="AE126">
        <v>1.35</v>
      </c>
      <c r="AF126">
        <v>1.27</v>
      </c>
      <c r="AG126">
        <v>2.52</v>
      </c>
      <c r="AH126">
        <v>111441.53</v>
      </c>
      <c r="AI126">
        <v>26921.27</v>
      </c>
      <c r="AJ126">
        <v>107685.07</v>
      </c>
      <c r="AK126">
        <v>0</v>
      </c>
      <c r="AL126">
        <v>184355.84</v>
      </c>
      <c r="AM126">
        <v>52427.199999999997</v>
      </c>
      <c r="AN126">
        <v>334977.19</v>
      </c>
      <c r="AO126">
        <v>1925345.45</v>
      </c>
      <c r="AP126">
        <v>447653.39</v>
      </c>
      <c r="AQ126">
        <v>99503.249999999898</v>
      </c>
      <c r="AR126">
        <v>198847.08999999901</v>
      </c>
      <c r="AS126">
        <v>251206.71999999901</v>
      </c>
      <c r="AT126">
        <v>26.308336000000001</v>
      </c>
      <c r="AU126">
        <v>25.545394256000002</v>
      </c>
      <c r="AV126">
        <v>23030450.191496801</v>
      </c>
      <c r="AW126">
        <v>129858490.05</v>
      </c>
      <c r="AX126">
        <v>5.63855630134168</v>
      </c>
      <c r="AY126">
        <v>911853.93559999904</v>
      </c>
      <c r="AZ126">
        <v>1.0308471240925099</v>
      </c>
      <c r="BA126">
        <v>1108665.2439024299</v>
      </c>
      <c r="BB126">
        <v>1.25334149871946</v>
      </c>
      <c r="BC126">
        <v>22.6890981299251</v>
      </c>
    </row>
    <row r="127" spans="1:55" x14ac:dyDescent="0.2">
      <c r="A127" t="s">
        <v>304</v>
      </c>
      <c r="B127" t="s">
        <v>305</v>
      </c>
      <c r="C127">
        <v>1150</v>
      </c>
      <c r="D127">
        <v>210</v>
      </c>
      <c r="E127">
        <v>250</v>
      </c>
      <c r="F127">
        <v>300</v>
      </c>
      <c r="G127">
        <v>120</v>
      </c>
      <c r="H127">
        <v>0</v>
      </c>
      <c r="I127">
        <v>2030</v>
      </c>
      <c r="J127">
        <v>39000.01</v>
      </c>
      <c r="K127">
        <v>492507.91</v>
      </c>
      <c r="L127">
        <v>344755.54</v>
      </c>
      <c r="M127">
        <v>81464.94</v>
      </c>
      <c r="N127">
        <v>224627.1</v>
      </c>
      <c r="O127">
        <v>591382.80000000005</v>
      </c>
      <c r="P127">
        <v>40110000</v>
      </c>
      <c r="Q127">
        <v>186362.34</v>
      </c>
      <c r="R127">
        <v>15122.94</v>
      </c>
      <c r="S127">
        <v>141610.78</v>
      </c>
      <c r="T127">
        <v>943153.57</v>
      </c>
      <c r="U127">
        <v>75</v>
      </c>
      <c r="V127">
        <v>12978.57</v>
      </c>
      <c r="W127">
        <v>4507.13</v>
      </c>
      <c r="X127">
        <v>17103.810000000001</v>
      </c>
      <c r="Y127">
        <v>245010.9</v>
      </c>
      <c r="Z127">
        <v>186362.34</v>
      </c>
      <c r="AA127">
        <v>15122.94</v>
      </c>
      <c r="AB127">
        <v>141610.78</v>
      </c>
      <c r="AC127">
        <v>943153.57</v>
      </c>
      <c r="AD127">
        <v>1.27</v>
      </c>
      <c r="AE127">
        <v>0.79</v>
      </c>
      <c r="AF127">
        <v>0.73</v>
      </c>
      <c r="AG127">
        <v>1.49</v>
      </c>
      <c r="AH127">
        <v>87984.9</v>
      </c>
      <c r="AI127">
        <v>29714.7</v>
      </c>
      <c r="AJ127">
        <v>118520.45</v>
      </c>
      <c r="AK127">
        <v>1861772.8</v>
      </c>
      <c r="AL127">
        <v>199340.91</v>
      </c>
      <c r="AM127">
        <v>19630.07</v>
      </c>
      <c r="AN127">
        <v>158714.59</v>
      </c>
      <c r="AO127">
        <v>1188164.47</v>
      </c>
      <c r="AP127">
        <v>243792.06999999899</v>
      </c>
      <c r="AQ127">
        <v>47243.11</v>
      </c>
      <c r="AR127">
        <v>89002.84</v>
      </c>
      <c r="AS127">
        <v>-1515400.9</v>
      </c>
      <c r="AT127">
        <v>34.019399999999997</v>
      </c>
      <c r="AU127">
        <v>33.032837399999998</v>
      </c>
      <c r="AV127">
        <v>16397500.4853599</v>
      </c>
      <c r="AW127">
        <v>151832795.09999999</v>
      </c>
      <c r="AX127">
        <v>9.2595084986006899</v>
      </c>
      <c r="AY127">
        <v>503880.12920000002</v>
      </c>
      <c r="AZ127">
        <v>1.0230904295526899</v>
      </c>
      <c r="BA127">
        <v>575186.58536585304</v>
      </c>
      <c r="BB127">
        <v>1.1678727867860099</v>
      </c>
      <c r="BC127">
        <v>24.2972254976447</v>
      </c>
    </row>
    <row r="128" spans="1:55" x14ac:dyDescent="0.2">
      <c r="A128" t="s">
        <v>306</v>
      </c>
      <c r="B128" t="s">
        <v>307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0.7</v>
      </c>
      <c r="M128">
        <v>1</v>
      </c>
      <c r="N128">
        <v>1</v>
      </c>
      <c r="O128">
        <v>0</v>
      </c>
      <c r="P128">
        <v>7336488</v>
      </c>
      <c r="Q128">
        <v>24295.17</v>
      </c>
      <c r="R128">
        <v>2025.14</v>
      </c>
      <c r="S128">
        <v>35416.6</v>
      </c>
      <c r="T128">
        <v>468410.04</v>
      </c>
      <c r="U128">
        <v>1</v>
      </c>
      <c r="V128">
        <v>35026.04</v>
      </c>
      <c r="W128">
        <v>5167.78</v>
      </c>
      <c r="X128">
        <v>6316.17</v>
      </c>
      <c r="Y128">
        <v>237143.55</v>
      </c>
      <c r="Z128">
        <v>24295.17</v>
      </c>
      <c r="AA128">
        <v>2025.14</v>
      </c>
      <c r="AB128">
        <v>35416.6</v>
      </c>
      <c r="AC128">
        <v>468410.04</v>
      </c>
      <c r="AD128">
        <v>1.35</v>
      </c>
      <c r="AE128">
        <v>0.43</v>
      </c>
      <c r="AF128">
        <v>0.53</v>
      </c>
      <c r="AG128">
        <v>3.64</v>
      </c>
      <c r="AH128">
        <v>0</v>
      </c>
      <c r="AI128">
        <v>0</v>
      </c>
      <c r="AJ128">
        <v>0</v>
      </c>
      <c r="AK128">
        <v>0</v>
      </c>
      <c r="AL128">
        <v>59321.21</v>
      </c>
      <c r="AM128">
        <v>7192.92</v>
      </c>
      <c r="AN128">
        <v>41732.769999999997</v>
      </c>
      <c r="AO128">
        <v>705553.59</v>
      </c>
      <c r="AP128">
        <v>-35025.339999999997</v>
      </c>
      <c r="AQ128">
        <v>-5166.78</v>
      </c>
      <c r="AR128">
        <v>-6315.1699999999901</v>
      </c>
      <c r="AS128">
        <v>-237143.55</v>
      </c>
      <c r="AT128">
        <v>0.453592</v>
      </c>
      <c r="AU128">
        <v>0.44043783199999997</v>
      </c>
      <c r="AV128">
        <v>0</v>
      </c>
      <c r="AW128">
        <v>27771615.04008</v>
      </c>
    </row>
    <row r="129" spans="1:55" x14ac:dyDescent="0.2">
      <c r="A129" t="s">
        <v>308</v>
      </c>
      <c r="B129" t="s">
        <v>309</v>
      </c>
      <c r="C129">
        <v>820</v>
      </c>
      <c r="D129">
        <v>100</v>
      </c>
      <c r="E129">
        <v>25</v>
      </c>
      <c r="F129">
        <v>0</v>
      </c>
      <c r="G129">
        <v>135</v>
      </c>
      <c r="H129">
        <v>85</v>
      </c>
      <c r="I129">
        <v>1165</v>
      </c>
      <c r="J129">
        <v>23385.61</v>
      </c>
      <c r="K129">
        <v>305193.53000000003</v>
      </c>
      <c r="L129">
        <v>213635.47</v>
      </c>
      <c r="M129">
        <v>49836.74</v>
      </c>
      <c r="N129">
        <v>156387.37</v>
      </c>
      <c r="O129">
        <v>410212.8</v>
      </c>
      <c r="P129">
        <v>7380000</v>
      </c>
      <c r="Q129">
        <v>42779.81</v>
      </c>
      <c r="R129">
        <v>4507.5600000000004</v>
      </c>
      <c r="S129">
        <v>79401.009999999995</v>
      </c>
      <c r="T129">
        <v>350007.33</v>
      </c>
      <c r="U129">
        <v>68</v>
      </c>
      <c r="V129">
        <v>0</v>
      </c>
      <c r="W129">
        <v>0</v>
      </c>
      <c r="X129">
        <v>0</v>
      </c>
      <c r="Y129">
        <v>0</v>
      </c>
      <c r="Z129">
        <v>42779.81</v>
      </c>
      <c r="AA129">
        <v>4507.5600000000004</v>
      </c>
      <c r="AB129">
        <v>79401.009999999995</v>
      </c>
      <c r="AC129">
        <v>350007.33</v>
      </c>
      <c r="AD129">
        <v>1.36</v>
      </c>
      <c r="AE129">
        <v>0.65</v>
      </c>
      <c r="AF129">
        <v>1.65</v>
      </c>
      <c r="AG129">
        <v>2.06</v>
      </c>
      <c r="AH129">
        <v>61230</v>
      </c>
      <c r="AI129">
        <v>15919.8</v>
      </c>
      <c r="AJ129">
        <v>17144.400000000001</v>
      </c>
      <c r="AK129">
        <v>438030</v>
      </c>
      <c r="AL129">
        <v>42779.81</v>
      </c>
      <c r="AM129">
        <v>4507.5600000000004</v>
      </c>
      <c r="AN129">
        <v>79401.009999999995</v>
      </c>
      <c r="AO129">
        <v>350007.33</v>
      </c>
      <c r="AP129">
        <v>152405.47</v>
      </c>
      <c r="AQ129">
        <v>33916.94</v>
      </c>
      <c r="AR129">
        <v>139242.97</v>
      </c>
      <c r="AS129">
        <v>-27817.200000000001</v>
      </c>
      <c r="AT129">
        <v>30.844256000000001</v>
      </c>
      <c r="AU129">
        <v>29.949772576000001</v>
      </c>
      <c r="AV129">
        <v>10057133.631020799</v>
      </c>
      <c r="AW129">
        <v>27936325.800000001</v>
      </c>
      <c r="AX129">
        <v>2.7777622158496098</v>
      </c>
      <c r="AY129">
        <v>302142.08120000002</v>
      </c>
      <c r="AZ129">
        <v>0.99000159407049004</v>
      </c>
      <c r="BA129">
        <v>348931.097560975</v>
      </c>
      <c r="BB129">
        <v>1.14331092654872</v>
      </c>
      <c r="BC129">
        <v>23.1624594757821</v>
      </c>
    </row>
    <row r="130" spans="1:55" x14ac:dyDescent="0.2">
      <c r="A130" t="s">
        <v>310</v>
      </c>
      <c r="B130" t="s">
        <v>311</v>
      </c>
      <c r="C130">
        <v>760</v>
      </c>
      <c r="D130">
        <v>100</v>
      </c>
      <c r="E130">
        <v>175</v>
      </c>
      <c r="F130">
        <v>250</v>
      </c>
      <c r="G130">
        <v>100</v>
      </c>
      <c r="H130">
        <v>0</v>
      </c>
      <c r="I130">
        <v>1385</v>
      </c>
      <c r="J130">
        <v>25929.13</v>
      </c>
      <c r="K130">
        <v>324131.74</v>
      </c>
      <c r="L130">
        <v>226892.22</v>
      </c>
      <c r="M130">
        <v>53751.59</v>
      </c>
      <c r="N130">
        <v>147948.51999999999</v>
      </c>
      <c r="O130">
        <v>381884.4</v>
      </c>
      <c r="P130">
        <v>15846776</v>
      </c>
      <c r="Q130">
        <v>98507.46</v>
      </c>
      <c r="R130">
        <v>8125.36</v>
      </c>
      <c r="S130">
        <v>122704.74</v>
      </c>
      <c r="T130">
        <v>779146.51</v>
      </c>
      <c r="U130">
        <v>74</v>
      </c>
      <c r="V130">
        <v>49500.13</v>
      </c>
      <c r="W130">
        <v>15105.25</v>
      </c>
      <c r="X130">
        <v>53835.43</v>
      </c>
      <c r="Y130">
        <v>1538689.6</v>
      </c>
      <c r="Z130">
        <v>76797.94</v>
      </c>
      <c r="AA130">
        <v>5395.89</v>
      </c>
      <c r="AB130">
        <v>92579.79</v>
      </c>
      <c r="AC130">
        <v>624950.93999999994</v>
      </c>
      <c r="AD130">
        <v>1.26</v>
      </c>
      <c r="AE130">
        <v>0.74</v>
      </c>
      <c r="AF130">
        <v>0.55000000000000004</v>
      </c>
      <c r="AG130">
        <v>3.19</v>
      </c>
      <c r="AH130">
        <v>45112.39</v>
      </c>
      <c r="AI130">
        <v>7403.4</v>
      </c>
      <c r="AJ130">
        <v>39338.79</v>
      </c>
      <c r="AK130">
        <v>467502.61</v>
      </c>
      <c r="AL130">
        <v>126298.07</v>
      </c>
      <c r="AM130">
        <v>20501.14</v>
      </c>
      <c r="AN130">
        <v>146415.22</v>
      </c>
      <c r="AO130">
        <v>2163640.54</v>
      </c>
      <c r="AP130">
        <v>153989.21999999901</v>
      </c>
      <c r="AQ130">
        <v>33972.409999999902</v>
      </c>
      <c r="AR130">
        <v>84899.25</v>
      </c>
      <c r="AS130">
        <v>-1470112.23999999</v>
      </c>
      <c r="AT130">
        <v>33.565807999999997</v>
      </c>
      <c r="AU130">
        <v>32.592399567999998</v>
      </c>
      <c r="AV130">
        <v>10230754.2243951</v>
      </c>
      <c r="AW130">
        <v>59986544.338160001</v>
      </c>
      <c r="AX130">
        <v>5.8633550393696501</v>
      </c>
      <c r="AY130">
        <v>335004.35960000003</v>
      </c>
      <c r="AZ130">
        <v>1.03354382881479</v>
      </c>
      <c r="BA130">
        <v>375104.26829268201</v>
      </c>
      <c r="BB130">
        <v>1.1572586760330299</v>
      </c>
      <c r="BC130">
        <v>24.645747768633299</v>
      </c>
    </row>
    <row r="131" spans="1:55" x14ac:dyDescent="0.2">
      <c r="A131" t="s">
        <v>312</v>
      </c>
      <c r="B131" t="s">
        <v>313</v>
      </c>
      <c r="C131">
        <v>0</v>
      </c>
      <c r="D131">
        <v>0</v>
      </c>
      <c r="E131">
        <v>342</v>
      </c>
      <c r="F131">
        <v>535</v>
      </c>
      <c r="G131">
        <v>565</v>
      </c>
      <c r="H131">
        <v>0</v>
      </c>
      <c r="I131">
        <v>1442</v>
      </c>
      <c r="J131">
        <v>10716.82</v>
      </c>
      <c r="K131">
        <v>112405.92</v>
      </c>
      <c r="L131">
        <v>78684.14</v>
      </c>
      <c r="M131">
        <v>16170.43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35354.730000000003</v>
      </c>
      <c r="W131">
        <v>10555.94</v>
      </c>
      <c r="X131">
        <v>52026.22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1.18</v>
      </c>
      <c r="AE131">
        <v>0.45</v>
      </c>
      <c r="AF131">
        <v>0.42</v>
      </c>
      <c r="AG131">
        <v>4.63</v>
      </c>
      <c r="AH131">
        <v>141018.67000000001</v>
      </c>
      <c r="AI131">
        <v>19220.689999999999</v>
      </c>
      <c r="AJ131">
        <v>125461.45</v>
      </c>
      <c r="AK131">
        <v>3091370.13</v>
      </c>
      <c r="AL131">
        <v>35354.730000000003</v>
      </c>
      <c r="AM131">
        <v>10555.94</v>
      </c>
      <c r="AN131">
        <v>52026.22</v>
      </c>
      <c r="AO131">
        <v>0</v>
      </c>
      <c r="AP131">
        <v>-97689.26</v>
      </c>
      <c r="AQ131">
        <v>-13606.199999999901</v>
      </c>
      <c r="AR131">
        <v>-177486.66999999899</v>
      </c>
      <c r="AS131">
        <v>-3091370.13</v>
      </c>
      <c r="AT131">
        <v>0.453592</v>
      </c>
      <c r="AU131">
        <v>0.44043783199999997</v>
      </c>
      <c r="AV131">
        <v>0</v>
      </c>
      <c r="AW131">
        <v>0</v>
      </c>
      <c r="AY131">
        <v>138461.3144</v>
      </c>
      <c r="AZ131">
        <v>1.23179735017515</v>
      </c>
      <c r="BA131">
        <v>142260.97560975599</v>
      </c>
      <c r="BB131">
        <v>1.26560038483521</v>
      </c>
      <c r="BC131">
        <v>20.313898289412801</v>
      </c>
    </row>
    <row r="132" spans="1:55" x14ac:dyDescent="0.2">
      <c r="A132" t="s">
        <v>314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0.7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3166.26</v>
      </c>
      <c r="W132">
        <v>1228.7</v>
      </c>
      <c r="X132">
        <v>4654.87</v>
      </c>
      <c r="Y132">
        <v>172253.95</v>
      </c>
      <c r="Z132">
        <v>0</v>
      </c>
      <c r="AA132">
        <v>0</v>
      </c>
      <c r="AB132">
        <v>0</v>
      </c>
      <c r="AC132">
        <v>0</v>
      </c>
      <c r="AD132">
        <v>0.88</v>
      </c>
      <c r="AE132">
        <v>0.36</v>
      </c>
      <c r="AF132">
        <v>0.26</v>
      </c>
      <c r="AG132">
        <v>2.69</v>
      </c>
      <c r="AH132">
        <v>0</v>
      </c>
      <c r="AI132">
        <v>0</v>
      </c>
      <c r="AJ132">
        <v>0</v>
      </c>
      <c r="AK132">
        <v>0</v>
      </c>
      <c r="AL132">
        <v>3166.26</v>
      </c>
      <c r="AM132">
        <v>1228.7</v>
      </c>
      <c r="AN132">
        <v>4654.87</v>
      </c>
      <c r="AO132">
        <v>172253.95</v>
      </c>
      <c r="AP132">
        <v>-3165.56</v>
      </c>
      <c r="AQ132">
        <v>-1227.7</v>
      </c>
      <c r="AR132">
        <v>-4653.87</v>
      </c>
      <c r="AS132">
        <v>-172253.95</v>
      </c>
      <c r="AT132">
        <v>0.453592</v>
      </c>
      <c r="AU132">
        <v>0.44043783199999997</v>
      </c>
      <c r="AV132">
        <v>0</v>
      </c>
      <c r="AW132">
        <v>0</v>
      </c>
    </row>
    <row r="133" spans="1:55" x14ac:dyDescent="0.2">
      <c r="A133" t="s">
        <v>315</v>
      </c>
      <c r="B133" t="s">
        <v>316</v>
      </c>
      <c r="C133">
        <v>736</v>
      </c>
      <c r="D133">
        <v>100</v>
      </c>
      <c r="E133">
        <v>250</v>
      </c>
      <c r="F133">
        <v>250</v>
      </c>
      <c r="G133">
        <v>75</v>
      </c>
      <c r="H133">
        <v>120</v>
      </c>
      <c r="I133">
        <v>1531</v>
      </c>
      <c r="J133">
        <v>26064.47</v>
      </c>
      <c r="K133">
        <v>322255.37</v>
      </c>
      <c r="L133">
        <v>225578.76</v>
      </c>
      <c r="M133">
        <v>52868.91</v>
      </c>
      <c r="N133">
        <v>140852.07999999999</v>
      </c>
      <c r="O133">
        <v>370553.04</v>
      </c>
      <c r="P133">
        <v>14760000</v>
      </c>
      <c r="Q133">
        <v>43918.400000000001</v>
      </c>
      <c r="R133">
        <v>3470.75</v>
      </c>
      <c r="S133">
        <v>64821.62</v>
      </c>
      <c r="T133">
        <v>284858.23999999999</v>
      </c>
      <c r="U133">
        <v>69</v>
      </c>
      <c r="V133">
        <v>93092.33</v>
      </c>
      <c r="W133">
        <v>29011.46</v>
      </c>
      <c r="X133">
        <v>70809.52</v>
      </c>
      <c r="Y133">
        <v>0</v>
      </c>
      <c r="Z133">
        <v>43918.400000000001</v>
      </c>
      <c r="AA133">
        <v>3470.75</v>
      </c>
      <c r="AB133">
        <v>64821.62</v>
      </c>
      <c r="AC133">
        <v>284858.23999999999</v>
      </c>
      <c r="AD133">
        <v>1.1100000000000001</v>
      </c>
      <c r="AE133">
        <v>1.28</v>
      </c>
      <c r="AF133">
        <v>0.72</v>
      </c>
      <c r="AG133">
        <v>0.4</v>
      </c>
      <c r="AH133">
        <v>0</v>
      </c>
      <c r="AI133">
        <v>0</v>
      </c>
      <c r="AJ133">
        <v>0</v>
      </c>
      <c r="AK133">
        <v>0</v>
      </c>
      <c r="AL133">
        <v>137010.73000000001</v>
      </c>
      <c r="AM133">
        <v>32482.21</v>
      </c>
      <c r="AN133">
        <v>135631.14000000001</v>
      </c>
      <c r="AO133">
        <v>284858.23999999999</v>
      </c>
      <c r="AP133">
        <v>132486.43</v>
      </c>
      <c r="AQ133">
        <v>23857.45</v>
      </c>
      <c r="AR133">
        <v>70042.559999999896</v>
      </c>
      <c r="AS133">
        <v>370553.04</v>
      </c>
      <c r="AT133">
        <v>31.297847999999998</v>
      </c>
      <c r="AU133">
        <v>30.390210407999898</v>
      </c>
      <c r="AV133">
        <v>9273268.8038971201</v>
      </c>
      <c r="AW133">
        <v>55872651.600000001</v>
      </c>
      <c r="AX133">
        <v>6.02513016516024</v>
      </c>
      <c r="AY133">
        <v>336752.95240000001</v>
      </c>
      <c r="AZ133">
        <v>1.0449878690927601</v>
      </c>
      <c r="BA133">
        <v>380588.17073170701</v>
      </c>
      <c r="BB133">
        <v>1.1810142084884601</v>
      </c>
      <c r="BC133">
        <v>23.9064734569696</v>
      </c>
    </row>
    <row r="134" spans="1:55" x14ac:dyDescent="0.2">
      <c r="A134" t="s">
        <v>317</v>
      </c>
      <c r="B134" t="s">
        <v>318</v>
      </c>
      <c r="C134">
        <v>0</v>
      </c>
      <c r="D134">
        <v>0</v>
      </c>
      <c r="E134">
        <v>1000</v>
      </c>
      <c r="F134">
        <v>800</v>
      </c>
      <c r="G134">
        <v>0</v>
      </c>
      <c r="H134">
        <v>0</v>
      </c>
      <c r="I134">
        <v>1800</v>
      </c>
      <c r="J134">
        <v>17879.75</v>
      </c>
      <c r="K134">
        <v>171288</v>
      </c>
      <c r="L134">
        <v>119901.6</v>
      </c>
      <c r="M134">
        <v>28987.200000000001</v>
      </c>
      <c r="N134">
        <v>1</v>
      </c>
      <c r="O134">
        <v>0</v>
      </c>
      <c r="P134">
        <v>7117122</v>
      </c>
      <c r="Q134">
        <v>27836.51</v>
      </c>
      <c r="R134">
        <v>5462.1</v>
      </c>
      <c r="S134">
        <v>36571.81</v>
      </c>
      <c r="T134">
        <v>276371.45</v>
      </c>
      <c r="U134">
        <v>1</v>
      </c>
      <c r="V134">
        <v>93406.11</v>
      </c>
      <c r="W134">
        <v>25149.15</v>
      </c>
      <c r="X134">
        <v>151823.25</v>
      </c>
      <c r="Y134">
        <v>1150763.3999999999</v>
      </c>
      <c r="Z134">
        <v>27836.51</v>
      </c>
      <c r="AA134">
        <v>5462.1</v>
      </c>
      <c r="AB134">
        <v>36571.81</v>
      </c>
      <c r="AC134">
        <v>276371.45</v>
      </c>
      <c r="AD134">
        <v>1.18</v>
      </c>
      <c r="AE134">
        <v>1.46</v>
      </c>
      <c r="AF134">
        <v>1.44</v>
      </c>
      <c r="AG134">
        <v>12.19</v>
      </c>
      <c r="AH134">
        <v>0</v>
      </c>
      <c r="AI134">
        <v>0</v>
      </c>
      <c r="AJ134">
        <v>0</v>
      </c>
      <c r="AK134">
        <v>0</v>
      </c>
      <c r="AL134">
        <v>121242.62</v>
      </c>
      <c r="AM134">
        <v>30611.25</v>
      </c>
      <c r="AN134">
        <v>188395.06</v>
      </c>
      <c r="AO134">
        <v>1427134.8499999901</v>
      </c>
      <c r="AP134">
        <v>26495.49</v>
      </c>
      <c r="AQ134">
        <v>3838.05</v>
      </c>
      <c r="AR134">
        <v>-151822.25</v>
      </c>
      <c r="AS134">
        <v>-1150763.3999999999</v>
      </c>
      <c r="AT134">
        <v>0.453592</v>
      </c>
      <c r="AU134">
        <v>0.44043783199999997</v>
      </c>
      <c r="AV134">
        <v>0</v>
      </c>
      <c r="AW134">
        <v>26941224.79002</v>
      </c>
      <c r="AY134">
        <v>231006.37</v>
      </c>
      <c r="AZ134">
        <v>1.3486430456307501</v>
      </c>
      <c r="BA134">
        <v>240365.85365853601</v>
      </c>
      <c r="BB134">
        <v>1.40328483991019</v>
      </c>
      <c r="BC134">
        <v>27.150731481481401</v>
      </c>
    </row>
    <row r="135" spans="1:55" x14ac:dyDescent="0.2">
      <c r="A135" t="s">
        <v>319</v>
      </c>
      <c r="B135" t="s">
        <v>320</v>
      </c>
      <c r="C135">
        <v>0</v>
      </c>
      <c r="D135">
        <v>0</v>
      </c>
      <c r="E135">
        <v>50</v>
      </c>
      <c r="F135">
        <v>65</v>
      </c>
      <c r="G135">
        <v>0</v>
      </c>
      <c r="H135">
        <v>0</v>
      </c>
      <c r="I135">
        <v>115</v>
      </c>
      <c r="J135">
        <v>1151.93</v>
      </c>
      <c r="K135">
        <v>10943.4</v>
      </c>
      <c r="L135">
        <v>7660.38</v>
      </c>
      <c r="M135">
        <v>1851.96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6482.4</v>
      </c>
      <c r="W135">
        <v>3147.96</v>
      </c>
      <c r="X135">
        <v>21489.599999999999</v>
      </c>
      <c r="Y135">
        <v>220896.22</v>
      </c>
      <c r="Z135">
        <v>0</v>
      </c>
      <c r="AA135">
        <v>0</v>
      </c>
      <c r="AB135">
        <v>0</v>
      </c>
      <c r="AC135">
        <v>0</v>
      </c>
      <c r="AD135">
        <v>0.54</v>
      </c>
      <c r="AE135">
        <v>0.53</v>
      </c>
      <c r="AF135">
        <v>0.48</v>
      </c>
      <c r="AG135">
        <v>6.8</v>
      </c>
      <c r="AH135">
        <v>0</v>
      </c>
      <c r="AI135">
        <v>0</v>
      </c>
      <c r="AJ135">
        <v>0</v>
      </c>
      <c r="AK135">
        <v>0</v>
      </c>
      <c r="AL135">
        <v>6482.4</v>
      </c>
      <c r="AM135">
        <v>3147.96</v>
      </c>
      <c r="AN135">
        <v>21489.599999999999</v>
      </c>
      <c r="AO135">
        <v>220896.22</v>
      </c>
      <c r="AP135">
        <v>1177.98</v>
      </c>
      <c r="AQ135">
        <v>-1296</v>
      </c>
      <c r="AR135">
        <v>-21488.6</v>
      </c>
      <c r="AS135">
        <v>-220896.22</v>
      </c>
      <c r="AT135">
        <v>0.453592</v>
      </c>
      <c r="AU135">
        <v>0.44043783199999997</v>
      </c>
      <c r="AV135">
        <v>0</v>
      </c>
      <c r="AW135">
        <v>0</v>
      </c>
      <c r="AY135">
        <v>14882.935600000001</v>
      </c>
      <c r="AZ135">
        <v>1.35999192207175</v>
      </c>
      <c r="BA135">
        <v>15356.7073170731</v>
      </c>
      <c r="BB135">
        <v>1.40328483991019</v>
      </c>
      <c r="BC135">
        <v>27.379205797101399</v>
      </c>
    </row>
    <row r="136" spans="1:55" x14ac:dyDescent="0.2">
      <c r="A136" t="s">
        <v>321</v>
      </c>
      <c r="B136" t="s">
        <v>322</v>
      </c>
      <c r="C136">
        <v>1400</v>
      </c>
      <c r="D136">
        <v>95</v>
      </c>
      <c r="E136">
        <v>560</v>
      </c>
      <c r="F136">
        <v>600</v>
      </c>
      <c r="G136">
        <v>225</v>
      </c>
      <c r="H136">
        <v>0</v>
      </c>
      <c r="I136">
        <v>2880</v>
      </c>
      <c r="J136">
        <v>46207.38</v>
      </c>
      <c r="K136">
        <v>575652.06000000006</v>
      </c>
      <c r="L136">
        <v>402956.44</v>
      </c>
      <c r="M136">
        <v>95160.11</v>
      </c>
      <c r="N136">
        <v>254090.35</v>
      </c>
      <c r="O136">
        <v>682901.1</v>
      </c>
      <c r="P136">
        <v>10095000</v>
      </c>
      <c r="Q136">
        <v>71127.81</v>
      </c>
      <c r="R136">
        <v>4007.65</v>
      </c>
      <c r="S136">
        <v>84926.48</v>
      </c>
      <c r="T136">
        <v>506220.22</v>
      </c>
      <c r="U136">
        <v>54</v>
      </c>
      <c r="V136">
        <v>0</v>
      </c>
      <c r="W136">
        <v>0</v>
      </c>
      <c r="X136">
        <v>0</v>
      </c>
      <c r="Y136">
        <v>0</v>
      </c>
      <c r="Z136">
        <v>71127.81</v>
      </c>
      <c r="AA136">
        <v>4007.65</v>
      </c>
      <c r="AB136">
        <v>84926.48</v>
      </c>
      <c r="AC136">
        <v>506220.22</v>
      </c>
      <c r="AD136">
        <v>1.4</v>
      </c>
      <c r="AE136">
        <v>0.45</v>
      </c>
      <c r="AF136">
        <v>1.1100000000000001</v>
      </c>
      <c r="AG136">
        <v>3.26</v>
      </c>
      <c r="AH136">
        <v>50668.800000000003</v>
      </c>
      <c r="AI136">
        <v>14226.24</v>
      </c>
      <c r="AJ136">
        <v>55297.2</v>
      </c>
      <c r="AK136">
        <v>1403136</v>
      </c>
      <c r="AL136">
        <v>71127.81</v>
      </c>
      <c r="AM136">
        <v>4007.65</v>
      </c>
      <c r="AN136">
        <v>84926.48</v>
      </c>
      <c r="AO136">
        <v>506220.22</v>
      </c>
      <c r="AP136">
        <v>352287.64</v>
      </c>
      <c r="AQ136">
        <v>80933.87</v>
      </c>
      <c r="AR136">
        <v>198793.15</v>
      </c>
      <c r="AS136">
        <v>-720234.9</v>
      </c>
      <c r="AT136">
        <v>24.493967999999999</v>
      </c>
      <c r="AU136">
        <v>23.783642927999999</v>
      </c>
      <c r="AV136">
        <v>12978139.3547363</v>
      </c>
      <c r="AW136">
        <v>38213713.950000003</v>
      </c>
      <c r="AX136">
        <v>2.9444678397642399</v>
      </c>
      <c r="AY136">
        <v>596999.34959999996</v>
      </c>
      <c r="AZ136">
        <v>1.03708366751957</v>
      </c>
      <c r="BA136">
        <v>710592.68292682897</v>
      </c>
      <c r="BB136">
        <v>1.2344135152175499</v>
      </c>
      <c r="BC136">
        <v>23.083984159863501</v>
      </c>
    </row>
    <row r="137" spans="1:55" x14ac:dyDescent="0.2">
      <c r="A137" t="s">
        <v>323</v>
      </c>
      <c r="B137" t="s">
        <v>324</v>
      </c>
      <c r="C137">
        <v>3060</v>
      </c>
      <c r="D137">
        <v>620</v>
      </c>
      <c r="E137">
        <v>1500</v>
      </c>
      <c r="F137">
        <v>1200</v>
      </c>
      <c r="G137">
        <v>450</v>
      </c>
      <c r="H137">
        <v>500</v>
      </c>
      <c r="I137">
        <v>7330</v>
      </c>
      <c r="J137">
        <v>119331.02</v>
      </c>
      <c r="K137">
        <v>1471686.34</v>
      </c>
      <c r="L137">
        <v>1030180.44</v>
      </c>
      <c r="M137">
        <v>240444.57</v>
      </c>
      <c r="N137">
        <v>597703.4</v>
      </c>
      <c r="O137">
        <v>1587708</v>
      </c>
      <c r="P137">
        <v>63180750</v>
      </c>
      <c r="Q137">
        <v>226424.45</v>
      </c>
      <c r="R137">
        <v>20487.72</v>
      </c>
      <c r="S137">
        <v>234517.92</v>
      </c>
      <c r="T137">
        <v>2306695.73</v>
      </c>
      <c r="U137">
        <v>75</v>
      </c>
      <c r="V137">
        <v>124153.92</v>
      </c>
      <c r="W137">
        <v>101465.21</v>
      </c>
      <c r="X137">
        <v>61431.57</v>
      </c>
      <c r="Y137">
        <v>1871005.98</v>
      </c>
      <c r="Z137">
        <v>215074.68</v>
      </c>
      <c r="AA137">
        <v>20363.36</v>
      </c>
      <c r="AB137">
        <v>232481.48</v>
      </c>
      <c r="AC137">
        <v>2292033.36</v>
      </c>
      <c r="AD137">
        <v>1.08</v>
      </c>
      <c r="AE137">
        <v>2.4500000000000002</v>
      </c>
      <c r="AF137">
        <v>0.78</v>
      </c>
      <c r="AG137">
        <v>3.14</v>
      </c>
      <c r="AH137">
        <v>660155.91</v>
      </c>
      <c r="AI137">
        <v>277640.09000000003</v>
      </c>
      <c r="AJ137">
        <v>1463394.36</v>
      </c>
      <c r="AK137">
        <v>10236466.76</v>
      </c>
      <c r="AL137">
        <v>339228.6</v>
      </c>
      <c r="AM137">
        <v>121828.57</v>
      </c>
      <c r="AN137">
        <v>293913.05</v>
      </c>
      <c r="AO137">
        <v>4163039.34</v>
      </c>
      <c r="AP137">
        <v>257220.37999999899</v>
      </c>
      <c r="AQ137">
        <v>-138536.37</v>
      </c>
      <c r="AR137">
        <v>-925086.09</v>
      </c>
      <c r="AS137">
        <v>-10505102.369999999</v>
      </c>
      <c r="AT137">
        <v>34.019399999999997</v>
      </c>
      <c r="AU137">
        <v>33.032837399999998</v>
      </c>
      <c r="AV137">
        <v>44369707.19568</v>
      </c>
      <c r="AW137">
        <v>239165042.85749999</v>
      </c>
      <c r="AX137">
        <v>5.3902776910997003</v>
      </c>
      <c r="AY137">
        <v>1541756.7784</v>
      </c>
      <c r="AZ137">
        <v>1.0476123454404001</v>
      </c>
      <c r="BA137">
        <v>1746035.36585365</v>
      </c>
      <c r="BB137">
        <v>1.18641813706965</v>
      </c>
      <c r="BC137">
        <v>23.7930837912755</v>
      </c>
    </row>
    <row r="138" spans="1:55" x14ac:dyDescent="0.2">
      <c r="A138" t="s">
        <v>325</v>
      </c>
      <c r="B138" t="s">
        <v>326</v>
      </c>
      <c r="C138">
        <v>385</v>
      </c>
      <c r="D138">
        <v>0</v>
      </c>
      <c r="E138">
        <v>300</v>
      </c>
      <c r="F138">
        <v>0</v>
      </c>
      <c r="G138">
        <v>0</v>
      </c>
      <c r="H138">
        <v>0</v>
      </c>
      <c r="I138">
        <v>685</v>
      </c>
      <c r="J138">
        <v>13176.64</v>
      </c>
      <c r="K138">
        <v>160985.01999999999</v>
      </c>
      <c r="L138">
        <v>112689.51</v>
      </c>
      <c r="M138">
        <v>27295.17</v>
      </c>
      <c r="N138">
        <v>75201.25</v>
      </c>
      <c r="O138">
        <v>181773.9</v>
      </c>
      <c r="P138">
        <v>8775000</v>
      </c>
      <c r="Q138">
        <v>20538.36</v>
      </c>
      <c r="R138">
        <v>5497.28</v>
      </c>
      <c r="S138">
        <v>34853.300000000003</v>
      </c>
      <c r="T138">
        <v>210872.31</v>
      </c>
      <c r="U138">
        <v>75</v>
      </c>
      <c r="V138">
        <v>0</v>
      </c>
      <c r="W138">
        <v>0</v>
      </c>
      <c r="X138">
        <v>0</v>
      </c>
      <c r="Y138">
        <v>0</v>
      </c>
      <c r="Z138">
        <v>20538.36</v>
      </c>
      <c r="AA138">
        <v>5497.28</v>
      </c>
      <c r="AB138">
        <v>34853.300000000003</v>
      </c>
      <c r="AC138">
        <v>210872.31</v>
      </c>
      <c r="AD138">
        <v>1.03</v>
      </c>
      <c r="AE138">
        <v>1.45</v>
      </c>
      <c r="AF138">
        <v>1.52</v>
      </c>
      <c r="AG138">
        <v>2.74</v>
      </c>
      <c r="AH138">
        <v>16228.38</v>
      </c>
      <c r="AI138">
        <v>11880.17</v>
      </c>
      <c r="AJ138">
        <v>41252.31</v>
      </c>
      <c r="AK138">
        <v>730896.72</v>
      </c>
      <c r="AL138">
        <v>20538.36</v>
      </c>
      <c r="AM138">
        <v>5497.28</v>
      </c>
      <c r="AN138">
        <v>34853.300000000003</v>
      </c>
      <c r="AO138">
        <v>210872.31</v>
      </c>
      <c r="AP138">
        <v>96461.129999999903</v>
      </c>
      <c r="AQ138">
        <v>15414.9999999999</v>
      </c>
      <c r="AR138">
        <v>33948.94</v>
      </c>
      <c r="AS138">
        <v>-549122.81999999995</v>
      </c>
      <c r="AT138">
        <v>34.019399999999997</v>
      </c>
      <c r="AU138">
        <v>33.032837399999998</v>
      </c>
      <c r="AV138">
        <v>4641939.4756349996</v>
      </c>
      <c r="AW138">
        <v>33216972.75</v>
      </c>
      <c r="AX138">
        <v>7.1558392616603497</v>
      </c>
      <c r="AY138">
        <v>170242.1888</v>
      </c>
      <c r="AZ138">
        <v>1.05750329316355</v>
      </c>
      <c r="BA138">
        <v>180585.97560975599</v>
      </c>
      <c r="BB138">
        <v>1.1217563945375499</v>
      </c>
      <c r="BC138">
        <v>26.632597485826899</v>
      </c>
    </row>
    <row r="139" spans="1:55" x14ac:dyDescent="0.2">
      <c r="A139" t="s">
        <v>327</v>
      </c>
      <c r="B139" t="s">
        <v>328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17.55</v>
      </c>
      <c r="K139">
        <v>230.13</v>
      </c>
      <c r="L139">
        <v>161.09</v>
      </c>
      <c r="M139">
        <v>37.409999999999997</v>
      </c>
      <c r="N139">
        <v>146.58000000000001</v>
      </c>
      <c r="O139">
        <v>472.14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11895.18</v>
      </c>
      <c r="W139">
        <v>2681.82</v>
      </c>
      <c r="X139">
        <v>3601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0.22</v>
      </c>
      <c r="AE139">
        <v>0.11</v>
      </c>
      <c r="AF139">
        <v>0.02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11895.18</v>
      </c>
      <c r="AM139">
        <v>2681.82</v>
      </c>
      <c r="AN139">
        <v>3601</v>
      </c>
      <c r="AO139">
        <v>0</v>
      </c>
      <c r="AP139">
        <v>-11734.09</v>
      </c>
      <c r="AQ139">
        <v>-2644.41</v>
      </c>
      <c r="AR139">
        <v>-3454.42</v>
      </c>
      <c r="AS139">
        <v>472.14</v>
      </c>
      <c r="AT139">
        <v>0.453592</v>
      </c>
      <c r="AU139">
        <v>0.44043783199999997</v>
      </c>
      <c r="AV139">
        <v>160.75980867999999</v>
      </c>
      <c r="AW139">
        <v>0</v>
      </c>
      <c r="AY139">
        <v>226.74600000000001</v>
      </c>
      <c r="AZ139">
        <v>0.98529526789206101</v>
      </c>
      <c r="BA139">
        <v>365</v>
      </c>
      <c r="BB139">
        <v>1.5860600530135101</v>
      </c>
      <c r="BC139">
        <v>17.55</v>
      </c>
    </row>
    <row r="140" spans="1:55" x14ac:dyDescent="0.2">
      <c r="A140" t="s">
        <v>329</v>
      </c>
      <c r="B140" t="s">
        <v>330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0.7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0.16</v>
      </c>
      <c r="AE140">
        <v>10.07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0.7</v>
      </c>
      <c r="AQ140">
        <v>1</v>
      </c>
      <c r="AR140">
        <v>1</v>
      </c>
      <c r="AS140">
        <v>0</v>
      </c>
      <c r="AT140">
        <v>0.453592</v>
      </c>
      <c r="AU140">
        <v>0.44043783199999997</v>
      </c>
      <c r="AV140">
        <v>0</v>
      </c>
      <c r="AW140">
        <v>0</v>
      </c>
    </row>
    <row r="141" spans="1:55" x14ac:dyDescent="0.2">
      <c r="A141" t="s">
        <v>331</v>
      </c>
      <c r="B141" t="s">
        <v>332</v>
      </c>
      <c r="C141">
        <v>650</v>
      </c>
      <c r="D141">
        <v>100</v>
      </c>
      <c r="E141">
        <v>0</v>
      </c>
      <c r="F141">
        <v>30</v>
      </c>
      <c r="G141">
        <v>50</v>
      </c>
      <c r="H141">
        <v>100</v>
      </c>
      <c r="I141">
        <v>930</v>
      </c>
      <c r="J141">
        <v>19606.27</v>
      </c>
      <c r="K141">
        <v>255436.17</v>
      </c>
      <c r="L141">
        <v>178805.32</v>
      </c>
      <c r="M141">
        <v>41920.11</v>
      </c>
      <c r="N141">
        <v>128247.8</v>
      </c>
      <c r="O141">
        <v>329949</v>
      </c>
      <c r="P141">
        <v>35482500</v>
      </c>
      <c r="Q141">
        <v>109579.18</v>
      </c>
      <c r="R141">
        <v>18630.75</v>
      </c>
      <c r="S141">
        <v>171004.42</v>
      </c>
      <c r="T141">
        <v>1230093.47</v>
      </c>
      <c r="U141">
        <v>78</v>
      </c>
      <c r="V141">
        <v>67967.81</v>
      </c>
      <c r="W141">
        <v>31636.82</v>
      </c>
      <c r="X141">
        <v>152817.21</v>
      </c>
      <c r="Y141">
        <v>1091645.3600000001</v>
      </c>
      <c r="Z141">
        <v>109579.18</v>
      </c>
      <c r="AA141">
        <v>18630.75</v>
      </c>
      <c r="AB141">
        <v>171004.42</v>
      </c>
      <c r="AC141">
        <v>1230093.47</v>
      </c>
      <c r="AD141">
        <v>1.0900000000000001</v>
      </c>
      <c r="AE141">
        <v>2.2000000000000002</v>
      </c>
      <c r="AF141">
        <v>1.56</v>
      </c>
      <c r="AG141">
        <v>3.9</v>
      </c>
      <c r="AH141">
        <v>0</v>
      </c>
      <c r="AI141">
        <v>0</v>
      </c>
      <c r="AJ141">
        <v>0</v>
      </c>
      <c r="AK141">
        <v>0</v>
      </c>
      <c r="AL141">
        <v>177546.99</v>
      </c>
      <c r="AM141">
        <v>50267.57</v>
      </c>
      <c r="AN141">
        <v>323821.63</v>
      </c>
      <c r="AO141">
        <v>2321738.83</v>
      </c>
      <c r="AP141">
        <v>110837.51</v>
      </c>
      <c r="AQ141">
        <v>10283.290000000001</v>
      </c>
      <c r="AR141">
        <v>-24569.409999999902</v>
      </c>
      <c r="AS141">
        <v>-761696.36</v>
      </c>
      <c r="AT141">
        <v>35.380175999999999</v>
      </c>
      <c r="AU141">
        <v>34.354150896</v>
      </c>
      <c r="AV141">
        <v>9404448.8077799994</v>
      </c>
      <c r="AW141">
        <v>134315810.32499999</v>
      </c>
      <c r="AX141">
        <v>14.2821565697592</v>
      </c>
      <c r="AY141">
        <v>253313.00839999999</v>
      </c>
      <c r="AZ141">
        <v>0.99168809335028696</v>
      </c>
      <c r="BA141">
        <v>284432.92682926799</v>
      </c>
      <c r="BB141">
        <v>1.1135186016501399</v>
      </c>
      <c r="BC141">
        <v>24.031601494768299</v>
      </c>
    </row>
    <row r="142" spans="1:55" x14ac:dyDescent="0.2">
      <c r="A142" t="s">
        <v>333</v>
      </c>
      <c r="B142" t="s">
        <v>334</v>
      </c>
      <c r="C142">
        <v>1020</v>
      </c>
      <c r="D142">
        <v>0</v>
      </c>
      <c r="E142">
        <v>308</v>
      </c>
      <c r="F142">
        <v>280</v>
      </c>
      <c r="G142">
        <v>0</v>
      </c>
      <c r="H142">
        <v>0</v>
      </c>
      <c r="I142">
        <v>1608</v>
      </c>
      <c r="J142">
        <v>32810.769999999997</v>
      </c>
      <c r="K142">
        <v>408395.63</v>
      </c>
      <c r="L142">
        <v>285876.94</v>
      </c>
      <c r="M142">
        <v>69272.67</v>
      </c>
      <c r="N142">
        <v>199906.44</v>
      </c>
      <c r="O142">
        <v>481582.8</v>
      </c>
      <c r="P142">
        <v>33400653</v>
      </c>
      <c r="Q142">
        <v>143805.85999999999</v>
      </c>
      <c r="R142">
        <v>26371.62</v>
      </c>
      <c r="S142">
        <v>211248.56</v>
      </c>
      <c r="T142">
        <v>2363949.35</v>
      </c>
      <c r="U142">
        <v>76</v>
      </c>
      <c r="V142">
        <v>0</v>
      </c>
      <c r="W142">
        <v>0</v>
      </c>
      <c r="X142">
        <v>0</v>
      </c>
      <c r="Y142">
        <v>0</v>
      </c>
      <c r="Z142">
        <v>143805.85999999999</v>
      </c>
      <c r="AA142">
        <v>26371.62</v>
      </c>
      <c r="AB142">
        <v>211248.56</v>
      </c>
      <c r="AC142">
        <v>2363949.35</v>
      </c>
      <c r="AD142">
        <v>1.23</v>
      </c>
      <c r="AE142">
        <v>1.18</v>
      </c>
      <c r="AF142">
        <v>1.47</v>
      </c>
      <c r="AG142">
        <v>4.13</v>
      </c>
      <c r="AH142">
        <v>0</v>
      </c>
      <c r="AI142">
        <v>0</v>
      </c>
      <c r="AJ142">
        <v>0</v>
      </c>
      <c r="AK142">
        <v>0</v>
      </c>
      <c r="AL142">
        <v>143805.85999999999</v>
      </c>
      <c r="AM142">
        <v>26371.62</v>
      </c>
      <c r="AN142">
        <v>211248.56</v>
      </c>
      <c r="AO142">
        <v>2363949.35</v>
      </c>
      <c r="AP142">
        <v>285876.94</v>
      </c>
      <c r="AQ142">
        <v>69272.67</v>
      </c>
      <c r="AR142">
        <v>199906.44</v>
      </c>
      <c r="AS142">
        <v>481582.799999999</v>
      </c>
      <c r="AT142">
        <v>34.472991999999998</v>
      </c>
      <c r="AU142">
        <v>33.473275231999999</v>
      </c>
      <c r="AV142">
        <v>12462100.3688736</v>
      </c>
      <c r="AW142">
        <v>126435165.87273</v>
      </c>
      <c r="AX142">
        <v>10.1455743518584</v>
      </c>
      <c r="AY142">
        <v>423915.14839999902</v>
      </c>
      <c r="AZ142">
        <v>1.03800118625167</v>
      </c>
      <c r="BA142">
        <v>450819.51219512202</v>
      </c>
      <c r="BB142">
        <v>1.10387937352591</v>
      </c>
      <c r="BC142">
        <v>26.564801935228999</v>
      </c>
    </row>
    <row r="143" spans="1:55" x14ac:dyDescent="0.2">
      <c r="A143" t="s">
        <v>335</v>
      </c>
      <c r="B143" t="s">
        <v>336</v>
      </c>
      <c r="C143">
        <v>1100</v>
      </c>
      <c r="D143">
        <v>250</v>
      </c>
      <c r="E143">
        <v>525</v>
      </c>
      <c r="F143">
        <v>340</v>
      </c>
      <c r="G143">
        <v>195</v>
      </c>
      <c r="H143">
        <v>150</v>
      </c>
      <c r="I143">
        <v>2560</v>
      </c>
      <c r="J143">
        <v>42321.77</v>
      </c>
      <c r="K143">
        <v>522440.17</v>
      </c>
      <c r="L143">
        <v>365708.12</v>
      </c>
      <c r="M143">
        <v>85090.6</v>
      </c>
      <c r="N143">
        <v>214136.02</v>
      </c>
      <c r="O143">
        <v>576999</v>
      </c>
      <c r="P143">
        <v>33495000</v>
      </c>
      <c r="Q143">
        <v>140281.12</v>
      </c>
      <c r="R143">
        <v>23124.41</v>
      </c>
      <c r="S143">
        <v>281235.55</v>
      </c>
      <c r="T143">
        <v>1489304.11</v>
      </c>
      <c r="U143">
        <v>74</v>
      </c>
      <c r="V143">
        <v>44887.7</v>
      </c>
      <c r="W143">
        <v>14628.6</v>
      </c>
      <c r="X143">
        <v>41419.75</v>
      </c>
      <c r="Y143">
        <v>808335.5</v>
      </c>
      <c r="Z143">
        <v>140281.12</v>
      </c>
      <c r="AA143">
        <v>23124.41</v>
      </c>
      <c r="AB143">
        <v>281235.55</v>
      </c>
      <c r="AC143">
        <v>1489304.11</v>
      </c>
      <c r="AD143">
        <v>1.18</v>
      </c>
      <c r="AE143">
        <v>1.5</v>
      </c>
      <c r="AF143">
        <v>1.83</v>
      </c>
      <c r="AG143">
        <v>3.46</v>
      </c>
      <c r="AH143">
        <v>18942</v>
      </c>
      <c r="AI143">
        <v>8470</v>
      </c>
      <c r="AJ143">
        <v>27951</v>
      </c>
      <c r="AK143">
        <v>234080</v>
      </c>
      <c r="AL143">
        <v>185168.82</v>
      </c>
      <c r="AM143">
        <v>37753.01</v>
      </c>
      <c r="AN143">
        <v>322655.3</v>
      </c>
      <c r="AO143">
        <v>2297639.61</v>
      </c>
      <c r="AP143">
        <v>301878.42</v>
      </c>
      <c r="AQ143">
        <v>61992</v>
      </c>
      <c r="AR143">
        <v>144765.269999999</v>
      </c>
      <c r="AS143">
        <v>-465416.5</v>
      </c>
      <c r="AT143">
        <v>33.565807999999997</v>
      </c>
      <c r="AU143">
        <v>32.592399567999998</v>
      </c>
      <c r="AV143">
        <v>16059904.8871319</v>
      </c>
      <c r="AW143">
        <v>126792307.95</v>
      </c>
      <c r="AX143">
        <v>7.8949600785987402</v>
      </c>
      <c r="AY143">
        <v>546797.26839999994</v>
      </c>
      <c r="AZ143">
        <v>1.0466217947980501</v>
      </c>
      <c r="BA143">
        <v>623615.85365853598</v>
      </c>
      <c r="BB143">
        <v>1.1936598475161899</v>
      </c>
      <c r="BC143">
        <v>23.6080621768707</v>
      </c>
    </row>
    <row r="144" spans="1:55" x14ac:dyDescent="0.2">
      <c r="A144" t="s">
        <v>337</v>
      </c>
      <c r="B144" t="s">
        <v>338</v>
      </c>
      <c r="C144">
        <v>0</v>
      </c>
      <c r="D144">
        <v>33</v>
      </c>
      <c r="E144">
        <v>105</v>
      </c>
      <c r="F144">
        <v>0</v>
      </c>
      <c r="G144">
        <v>0</v>
      </c>
      <c r="H144">
        <v>0</v>
      </c>
      <c r="I144">
        <v>138</v>
      </c>
      <c r="J144">
        <v>775.65</v>
      </c>
      <c r="K144">
        <v>8059.2</v>
      </c>
      <c r="L144">
        <v>5641.44</v>
      </c>
      <c r="M144">
        <v>1250.83</v>
      </c>
      <c r="N144">
        <v>1</v>
      </c>
      <c r="O144">
        <v>3825.36</v>
      </c>
      <c r="P144">
        <v>1572000</v>
      </c>
      <c r="Q144">
        <v>1500.74</v>
      </c>
      <c r="R144">
        <v>704.45</v>
      </c>
      <c r="S144">
        <v>12160.7</v>
      </c>
      <c r="T144">
        <v>24924.85</v>
      </c>
      <c r="U144">
        <v>1</v>
      </c>
      <c r="V144">
        <v>4458</v>
      </c>
      <c r="W144">
        <v>1114.5</v>
      </c>
      <c r="X144">
        <v>1471.14</v>
      </c>
      <c r="Y144">
        <v>102088.2</v>
      </c>
      <c r="Z144">
        <v>1500.74</v>
      </c>
      <c r="AA144">
        <v>704.45</v>
      </c>
      <c r="AB144">
        <v>12160.7</v>
      </c>
      <c r="AC144">
        <v>24924.85</v>
      </c>
      <c r="AD144">
        <v>1.1399999999999999</v>
      </c>
      <c r="AE144">
        <v>1.49</v>
      </c>
      <c r="AF144">
        <v>2.06</v>
      </c>
      <c r="AG144">
        <v>6.11</v>
      </c>
      <c r="AH144">
        <v>0</v>
      </c>
      <c r="AI144">
        <v>0</v>
      </c>
      <c r="AJ144">
        <v>0</v>
      </c>
      <c r="AK144">
        <v>0</v>
      </c>
      <c r="AL144">
        <v>5958.74</v>
      </c>
      <c r="AM144">
        <v>1818.95</v>
      </c>
      <c r="AN144">
        <v>13631.84</v>
      </c>
      <c r="AO144">
        <v>127013.049999999</v>
      </c>
      <c r="AP144">
        <v>1183.4399999999901</v>
      </c>
      <c r="AQ144">
        <v>136.32999999999899</v>
      </c>
      <c r="AR144">
        <v>-1470.1399999999901</v>
      </c>
      <c r="AS144">
        <v>-98262.84</v>
      </c>
      <c r="AT144">
        <v>0.453592</v>
      </c>
      <c r="AU144">
        <v>0.44043783199999997</v>
      </c>
      <c r="AV144">
        <v>5305.0736864399996</v>
      </c>
      <c r="AW144">
        <v>5950664.5199999996</v>
      </c>
      <c r="AX144">
        <v>1121.69309452009</v>
      </c>
      <c r="AY144">
        <v>10021.397999999999</v>
      </c>
      <c r="AZ144">
        <v>1.2434730494341799</v>
      </c>
      <c r="BA144">
        <v>26066.341463414599</v>
      </c>
      <c r="BB144">
        <v>3.2343584305408202</v>
      </c>
      <c r="BC144">
        <v>10.861219262295</v>
      </c>
    </row>
    <row r="145" spans="1:55" x14ac:dyDescent="0.2">
      <c r="A145" t="s">
        <v>339</v>
      </c>
      <c r="B145" t="s">
        <v>340</v>
      </c>
      <c r="C145">
        <v>200</v>
      </c>
      <c r="D145">
        <v>25</v>
      </c>
      <c r="E145">
        <v>70</v>
      </c>
      <c r="F145">
        <v>60</v>
      </c>
      <c r="G145">
        <v>65</v>
      </c>
      <c r="H145">
        <v>45</v>
      </c>
      <c r="I145">
        <v>465</v>
      </c>
      <c r="J145">
        <v>6951.54</v>
      </c>
      <c r="K145">
        <v>86764.66</v>
      </c>
      <c r="L145">
        <v>60735.26</v>
      </c>
      <c r="M145">
        <v>13916.84</v>
      </c>
      <c r="N145">
        <v>37089.18</v>
      </c>
      <c r="O145">
        <v>100192.5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60</v>
      </c>
      <c r="V145">
        <v>38568.720000000001</v>
      </c>
      <c r="W145">
        <v>18610.7</v>
      </c>
      <c r="X145">
        <v>65701.3</v>
      </c>
      <c r="Y145">
        <v>491270.08</v>
      </c>
      <c r="Z145">
        <v>0</v>
      </c>
      <c r="AA145">
        <v>0</v>
      </c>
      <c r="AB145">
        <v>0</v>
      </c>
      <c r="AC145">
        <v>0</v>
      </c>
      <c r="AD145">
        <v>1.05</v>
      </c>
      <c r="AE145">
        <v>3.05</v>
      </c>
      <c r="AF145">
        <v>1.0900000000000001</v>
      </c>
      <c r="AG145">
        <v>2.86</v>
      </c>
      <c r="AH145">
        <v>0</v>
      </c>
      <c r="AI145">
        <v>0</v>
      </c>
      <c r="AJ145">
        <v>0</v>
      </c>
      <c r="AK145">
        <v>0</v>
      </c>
      <c r="AL145">
        <v>38568.720000000001</v>
      </c>
      <c r="AM145">
        <v>18610.7</v>
      </c>
      <c r="AN145">
        <v>65701.3</v>
      </c>
      <c r="AO145">
        <v>491270.08</v>
      </c>
      <c r="AP145">
        <v>22166.54</v>
      </c>
      <c r="AQ145">
        <v>-4693.8599999999997</v>
      </c>
      <c r="AR145">
        <v>-28612.12</v>
      </c>
      <c r="AS145">
        <v>-391077.58</v>
      </c>
      <c r="AT145">
        <v>27.215519999999898</v>
      </c>
      <c r="AU145">
        <v>26.4262699199999</v>
      </c>
      <c r="AV145">
        <v>2170257.4171799999</v>
      </c>
      <c r="AW145">
        <v>0</v>
      </c>
      <c r="AY145">
        <v>89813.896800000002</v>
      </c>
      <c r="AZ145">
        <v>1.0351437647539901</v>
      </c>
      <c r="BA145">
        <v>104381.097560975</v>
      </c>
      <c r="BB145">
        <v>1.20303701485115</v>
      </c>
      <c r="BC145">
        <v>22.223246783625701</v>
      </c>
    </row>
    <row r="146" spans="1:55" x14ac:dyDescent="0.2">
      <c r="A146" t="s">
        <v>314</v>
      </c>
      <c r="C146">
        <v>456</v>
      </c>
      <c r="D146">
        <v>52</v>
      </c>
      <c r="E146">
        <v>242</v>
      </c>
      <c r="F146">
        <v>200</v>
      </c>
      <c r="G146">
        <v>62</v>
      </c>
      <c r="H146">
        <v>60</v>
      </c>
      <c r="I146">
        <v>1072</v>
      </c>
      <c r="J146">
        <v>16732.37</v>
      </c>
      <c r="K146">
        <v>206268.91</v>
      </c>
      <c r="L146">
        <v>144388.24</v>
      </c>
      <c r="M146">
        <v>33874.69</v>
      </c>
      <c r="N146">
        <v>85464.57</v>
      </c>
      <c r="O146">
        <v>227286</v>
      </c>
      <c r="P146">
        <v>7913830</v>
      </c>
      <c r="Q146">
        <v>38662.53</v>
      </c>
      <c r="R146">
        <v>13228.05</v>
      </c>
      <c r="S146">
        <v>77866.25</v>
      </c>
      <c r="T146">
        <v>258119.89</v>
      </c>
      <c r="U146">
        <v>63</v>
      </c>
      <c r="V146">
        <v>0</v>
      </c>
      <c r="W146">
        <v>0</v>
      </c>
      <c r="X146">
        <v>0</v>
      </c>
      <c r="Y146">
        <v>0</v>
      </c>
      <c r="Z146">
        <v>38662.53</v>
      </c>
      <c r="AA146">
        <v>13228.05</v>
      </c>
      <c r="AB146">
        <v>77866.25</v>
      </c>
      <c r="AC146">
        <v>258119.89</v>
      </c>
      <c r="AD146">
        <v>1.37</v>
      </c>
      <c r="AE146">
        <v>2.12</v>
      </c>
      <c r="AF146">
        <v>2.52</v>
      </c>
      <c r="AG146">
        <v>3.88</v>
      </c>
      <c r="AH146">
        <v>0</v>
      </c>
      <c r="AI146">
        <v>0</v>
      </c>
      <c r="AJ146">
        <v>0</v>
      </c>
      <c r="AK146">
        <v>0</v>
      </c>
      <c r="AL146">
        <v>38662.53</v>
      </c>
      <c r="AM146">
        <v>13228.05</v>
      </c>
      <c r="AN146">
        <v>77866.25</v>
      </c>
      <c r="AO146">
        <v>258119.89</v>
      </c>
      <c r="AP146">
        <v>144388.24</v>
      </c>
      <c r="AQ146">
        <v>33874.69</v>
      </c>
      <c r="AR146">
        <v>85464.57</v>
      </c>
      <c r="AS146">
        <v>227286</v>
      </c>
      <c r="AT146">
        <v>28.576295999999999</v>
      </c>
      <c r="AU146">
        <v>27.747583415999902</v>
      </c>
      <c r="AV146">
        <v>5144956.9169947198</v>
      </c>
      <c r="AW146">
        <v>29957091.2203</v>
      </c>
      <c r="AX146">
        <v>5.8226126483870697</v>
      </c>
      <c r="AY146">
        <v>216182.22039999999</v>
      </c>
      <c r="AZ146">
        <v>1.0480601288870901</v>
      </c>
      <c r="BA146">
        <v>249873.65853658499</v>
      </c>
      <c r="BB146">
        <v>1.2113975806464701</v>
      </c>
      <c r="BC146">
        <v>23.423489825184301</v>
      </c>
    </row>
    <row r="147" spans="1:55" x14ac:dyDescent="0.2">
      <c r="A147" t="s">
        <v>341</v>
      </c>
      <c r="B147" t="s">
        <v>342</v>
      </c>
      <c r="C147">
        <v>850</v>
      </c>
      <c r="D147">
        <v>100</v>
      </c>
      <c r="E147">
        <v>180</v>
      </c>
      <c r="F147">
        <v>110</v>
      </c>
      <c r="G147">
        <v>0</v>
      </c>
      <c r="H147">
        <v>0</v>
      </c>
      <c r="I147">
        <v>1240</v>
      </c>
      <c r="J147">
        <v>27787.43</v>
      </c>
      <c r="K147">
        <v>351368.47</v>
      </c>
      <c r="L147">
        <v>245957.93</v>
      </c>
      <c r="M147">
        <v>59086.35</v>
      </c>
      <c r="N147">
        <v>171628.52</v>
      </c>
      <c r="O147">
        <v>424377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85</v>
      </c>
      <c r="V147">
        <v>41963.79</v>
      </c>
      <c r="W147">
        <v>7505.06</v>
      </c>
      <c r="X147">
        <v>22192.39</v>
      </c>
      <c r="Y147">
        <v>570949.67000000004</v>
      </c>
      <c r="Z147">
        <v>0</v>
      </c>
      <c r="AA147">
        <v>0</v>
      </c>
      <c r="AB147">
        <v>0</v>
      </c>
      <c r="AC147">
        <v>0</v>
      </c>
      <c r="AD147">
        <v>1.05</v>
      </c>
      <c r="AE147">
        <v>0.8</v>
      </c>
      <c r="AF147">
        <v>0.32</v>
      </c>
      <c r="AG147">
        <v>1.46</v>
      </c>
      <c r="AH147">
        <v>104802.67</v>
      </c>
      <c r="AI147">
        <v>22971.03</v>
      </c>
      <c r="AJ147">
        <v>57656.08</v>
      </c>
      <c r="AK147">
        <v>822765.9</v>
      </c>
      <c r="AL147">
        <v>41963.79</v>
      </c>
      <c r="AM147">
        <v>7505.06</v>
      </c>
      <c r="AN147">
        <v>22192.39</v>
      </c>
      <c r="AO147">
        <v>570949.67000000004</v>
      </c>
      <c r="AP147">
        <v>99191.469999999899</v>
      </c>
      <c r="AQ147">
        <v>28610.26</v>
      </c>
      <c r="AR147">
        <v>91780.05</v>
      </c>
      <c r="AS147">
        <v>-969338.57</v>
      </c>
      <c r="AT147">
        <v>38.555320000000002</v>
      </c>
      <c r="AU147">
        <v>37.437215719999998</v>
      </c>
      <c r="AV147">
        <v>12981354.550909899</v>
      </c>
      <c r="AW147">
        <v>0</v>
      </c>
      <c r="AY147">
        <v>359013.5956</v>
      </c>
      <c r="AZ147">
        <v>1.0217581435237999</v>
      </c>
      <c r="BA147">
        <v>385475.60975609702</v>
      </c>
      <c r="BB147">
        <v>1.0970694375511201</v>
      </c>
      <c r="BC147">
        <v>26.311423325635101</v>
      </c>
    </row>
    <row r="148" spans="1:55" x14ac:dyDescent="0.2">
      <c r="A148" t="s">
        <v>343</v>
      </c>
      <c r="B148" t="s">
        <v>344</v>
      </c>
      <c r="C148">
        <v>1100</v>
      </c>
      <c r="D148">
        <v>185</v>
      </c>
      <c r="E148">
        <v>120</v>
      </c>
      <c r="F148">
        <v>195</v>
      </c>
      <c r="G148">
        <v>144</v>
      </c>
      <c r="H148">
        <v>194</v>
      </c>
      <c r="I148">
        <v>1938</v>
      </c>
      <c r="J148">
        <v>36524.25</v>
      </c>
      <c r="K148">
        <v>468003.67</v>
      </c>
      <c r="L148">
        <v>327602.57</v>
      </c>
      <c r="M148">
        <v>76505.16</v>
      </c>
      <c r="N148">
        <v>218484.1</v>
      </c>
      <c r="O148">
        <v>562011.30000000005</v>
      </c>
      <c r="P148">
        <v>16982500</v>
      </c>
      <c r="Q148">
        <v>86753.56</v>
      </c>
      <c r="R148">
        <v>7400.3</v>
      </c>
      <c r="S148">
        <v>109508.31</v>
      </c>
      <c r="T148">
        <v>871792.97</v>
      </c>
      <c r="U148">
        <v>80</v>
      </c>
      <c r="V148">
        <v>114880.03</v>
      </c>
      <c r="W148">
        <v>26609.87</v>
      </c>
      <c r="X148">
        <v>55477.82</v>
      </c>
      <c r="Y148">
        <v>2572089.7999999998</v>
      </c>
      <c r="Z148">
        <v>86753.56</v>
      </c>
      <c r="AA148">
        <v>7400.3</v>
      </c>
      <c r="AB148">
        <v>109508.31</v>
      </c>
      <c r="AC148">
        <v>871792.97</v>
      </c>
      <c r="AD148">
        <v>1.34</v>
      </c>
      <c r="AE148">
        <v>1.2</v>
      </c>
      <c r="AF148">
        <v>0.71</v>
      </c>
      <c r="AG148">
        <v>3.61</v>
      </c>
      <c r="AH148">
        <v>86292.36</v>
      </c>
      <c r="AI148">
        <v>24241.14</v>
      </c>
      <c r="AJ148">
        <v>59459.4</v>
      </c>
      <c r="AK148">
        <v>771447.6</v>
      </c>
      <c r="AL148">
        <v>201633.59</v>
      </c>
      <c r="AM148">
        <v>34010.17</v>
      </c>
      <c r="AN148">
        <v>164986.13</v>
      </c>
      <c r="AO148">
        <v>3443882.7699999898</v>
      </c>
      <c r="AP148">
        <v>126430.18</v>
      </c>
      <c r="AQ148">
        <v>25654.15</v>
      </c>
      <c r="AR148">
        <v>103546.88</v>
      </c>
      <c r="AS148">
        <v>-2781526.0999999898</v>
      </c>
      <c r="AT148">
        <v>36.28736</v>
      </c>
      <c r="AU148">
        <v>35.235026560000001</v>
      </c>
      <c r="AV148">
        <v>16526108.332304001</v>
      </c>
      <c r="AW148">
        <v>64285725.325000003</v>
      </c>
      <c r="AX148">
        <v>3.8899494080732202</v>
      </c>
      <c r="AY148">
        <v>471893.31</v>
      </c>
      <c r="AZ148">
        <v>1.00831113140629</v>
      </c>
      <c r="BA148">
        <v>526134.14634146297</v>
      </c>
      <c r="BB148">
        <v>1.1242094454974301</v>
      </c>
      <c r="BC148">
        <v>23.967577624839901</v>
      </c>
    </row>
    <row r="149" spans="1:55" x14ac:dyDescent="0.2">
      <c r="A149" t="s">
        <v>345</v>
      </c>
      <c r="B149" t="s">
        <v>346</v>
      </c>
      <c r="C149">
        <v>600</v>
      </c>
      <c r="D149">
        <v>75</v>
      </c>
      <c r="E149">
        <v>0</v>
      </c>
      <c r="F149">
        <v>0</v>
      </c>
      <c r="G149">
        <v>0</v>
      </c>
      <c r="H149">
        <v>0</v>
      </c>
      <c r="I149">
        <v>675</v>
      </c>
      <c r="J149">
        <v>16673.939999999999</v>
      </c>
      <c r="K149">
        <v>217350.77</v>
      </c>
      <c r="L149">
        <v>152145.54</v>
      </c>
      <c r="M149">
        <v>36311.24</v>
      </c>
      <c r="N149">
        <v>116010.91</v>
      </c>
      <c r="O149">
        <v>300577.5</v>
      </c>
      <c r="P149">
        <v>23460000</v>
      </c>
      <c r="Q149">
        <v>43979.49</v>
      </c>
      <c r="R149">
        <v>8600.32</v>
      </c>
      <c r="S149">
        <v>112121.25</v>
      </c>
      <c r="T149">
        <v>927686.95</v>
      </c>
      <c r="U149">
        <v>72</v>
      </c>
      <c r="V149">
        <v>0</v>
      </c>
      <c r="W149">
        <v>0</v>
      </c>
      <c r="X149">
        <v>0</v>
      </c>
      <c r="Y149">
        <v>0</v>
      </c>
      <c r="Z149">
        <v>43979.49</v>
      </c>
      <c r="AA149">
        <v>8600.32</v>
      </c>
      <c r="AB149">
        <v>112121.25</v>
      </c>
      <c r="AC149">
        <v>927686.95</v>
      </c>
      <c r="AD149">
        <v>1.43</v>
      </c>
      <c r="AE149">
        <v>1.85</v>
      </c>
      <c r="AF149">
        <v>2.1</v>
      </c>
      <c r="AG149">
        <v>9</v>
      </c>
      <c r="AH149">
        <v>0</v>
      </c>
      <c r="AI149">
        <v>0</v>
      </c>
      <c r="AJ149">
        <v>0</v>
      </c>
      <c r="AK149">
        <v>0</v>
      </c>
      <c r="AL149">
        <v>43979.49</v>
      </c>
      <c r="AM149">
        <v>8600.32</v>
      </c>
      <c r="AN149">
        <v>112121.25</v>
      </c>
      <c r="AO149">
        <v>927686.95</v>
      </c>
      <c r="AP149">
        <v>152145.54</v>
      </c>
      <c r="AQ149">
        <v>36311.24</v>
      </c>
      <c r="AR149">
        <v>116010.91</v>
      </c>
      <c r="AS149">
        <v>300577.5</v>
      </c>
      <c r="AT149">
        <v>32.658624000000003</v>
      </c>
      <c r="AU149">
        <v>31.711523904</v>
      </c>
      <c r="AV149">
        <v>7812926.7018480003</v>
      </c>
      <c r="AW149">
        <v>88805718.599999994</v>
      </c>
      <c r="AX149">
        <v>11.366511166551</v>
      </c>
      <c r="AY149">
        <v>215427.30479999899</v>
      </c>
      <c r="AZ149">
        <v>0.99115041000314796</v>
      </c>
      <c r="BA149">
        <v>246375</v>
      </c>
      <c r="BB149">
        <v>1.13353635692203</v>
      </c>
      <c r="BC149">
        <v>24.7021333333333</v>
      </c>
    </row>
    <row r="150" spans="1:55" x14ac:dyDescent="0.2">
      <c r="A150" t="s">
        <v>347</v>
      </c>
      <c r="B150" t="s">
        <v>348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0.7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0.7</v>
      </c>
      <c r="AQ150">
        <v>1</v>
      </c>
      <c r="AR150">
        <v>1</v>
      </c>
      <c r="AS150">
        <v>0</v>
      </c>
      <c r="AT150">
        <v>0.453592</v>
      </c>
      <c r="AU150">
        <v>0.44043783199999997</v>
      </c>
      <c r="AV150">
        <v>0</v>
      </c>
      <c r="AW150">
        <v>0</v>
      </c>
    </row>
    <row r="151" spans="1:55" x14ac:dyDescent="0.2">
      <c r="A151" t="s">
        <v>349</v>
      </c>
      <c r="B151" t="s">
        <v>350</v>
      </c>
      <c r="C151">
        <v>1400</v>
      </c>
      <c r="D151">
        <v>300</v>
      </c>
      <c r="E151">
        <v>200</v>
      </c>
      <c r="F151">
        <v>0</v>
      </c>
      <c r="G151">
        <v>300</v>
      </c>
      <c r="H151">
        <v>0</v>
      </c>
      <c r="I151">
        <v>2200</v>
      </c>
      <c r="J151">
        <v>43087.4</v>
      </c>
      <c r="K151">
        <v>555814.27</v>
      </c>
      <c r="L151">
        <v>389069.99</v>
      </c>
      <c r="M151">
        <v>90469.2</v>
      </c>
      <c r="N151">
        <v>267002.83</v>
      </c>
      <c r="O151">
        <v>730170</v>
      </c>
      <c r="P151">
        <v>37269825</v>
      </c>
      <c r="Q151">
        <v>130623.92</v>
      </c>
      <c r="R151">
        <v>4407.6000000000004</v>
      </c>
      <c r="S151">
        <v>55771.69</v>
      </c>
      <c r="T151">
        <v>1469191</v>
      </c>
      <c r="U151">
        <v>68</v>
      </c>
      <c r="V151">
        <v>0</v>
      </c>
      <c r="W151">
        <v>0</v>
      </c>
      <c r="X151">
        <v>0</v>
      </c>
      <c r="Y151">
        <v>0</v>
      </c>
      <c r="Z151">
        <v>130623.92</v>
      </c>
      <c r="AA151">
        <v>4407.6000000000004</v>
      </c>
      <c r="AB151">
        <v>55771.69</v>
      </c>
      <c r="AC151">
        <v>1469191</v>
      </c>
      <c r="AD151">
        <v>1.06</v>
      </c>
      <c r="AE151">
        <v>0.14000000000000001</v>
      </c>
      <c r="AF151">
        <v>0.21</v>
      </c>
      <c r="AG151">
        <v>1.87</v>
      </c>
      <c r="AH151">
        <v>39608.160000000003</v>
      </c>
      <c r="AI151">
        <v>16856.5</v>
      </c>
      <c r="AJ151">
        <v>103626</v>
      </c>
      <c r="AK151">
        <v>969478.8</v>
      </c>
      <c r="AL151">
        <v>130623.92</v>
      </c>
      <c r="AM151">
        <v>4407.6000000000004</v>
      </c>
      <c r="AN151">
        <v>55771.69</v>
      </c>
      <c r="AO151">
        <v>1469191</v>
      </c>
      <c r="AP151">
        <v>349461.82999999903</v>
      </c>
      <c r="AQ151">
        <v>73612.7</v>
      </c>
      <c r="AR151">
        <v>163376.82999999999</v>
      </c>
      <c r="AS151">
        <v>-239308.79999999999</v>
      </c>
      <c r="AT151">
        <v>30.844256000000001</v>
      </c>
      <c r="AU151">
        <v>29.949772576000001</v>
      </c>
      <c r="AV151">
        <v>18583833.883407999</v>
      </c>
      <c r="AW151">
        <v>141081568.25325</v>
      </c>
      <c r="AX151">
        <v>7.5916287854472397</v>
      </c>
      <c r="AY151">
        <v>556689.20799999998</v>
      </c>
      <c r="AZ151">
        <v>1.0015741553378901</v>
      </c>
      <c r="BA151">
        <v>660560.97560975596</v>
      </c>
      <c r="BB151">
        <v>1.18845630863301</v>
      </c>
      <c r="BC151">
        <v>22.8832046632124</v>
      </c>
    </row>
    <row r="152" spans="1:55" x14ac:dyDescent="0.2">
      <c r="A152" t="s">
        <v>351</v>
      </c>
      <c r="B152" t="s">
        <v>352</v>
      </c>
      <c r="C152">
        <v>160</v>
      </c>
      <c r="D152">
        <v>35</v>
      </c>
      <c r="E152">
        <v>38</v>
      </c>
      <c r="F152">
        <v>38</v>
      </c>
      <c r="G152">
        <v>16</v>
      </c>
      <c r="H152">
        <v>13</v>
      </c>
      <c r="I152">
        <v>300</v>
      </c>
      <c r="J152">
        <v>5261.19</v>
      </c>
      <c r="K152">
        <v>66469.09</v>
      </c>
      <c r="L152">
        <v>46528.36</v>
      </c>
      <c r="M152">
        <v>10831.12</v>
      </c>
      <c r="N152">
        <v>29671.35</v>
      </c>
      <c r="O152">
        <v>83612.7</v>
      </c>
      <c r="P152">
        <v>2880000</v>
      </c>
      <c r="Q152">
        <v>913.28</v>
      </c>
      <c r="R152">
        <v>322.05</v>
      </c>
      <c r="S152">
        <v>1057.48</v>
      </c>
      <c r="T152">
        <v>18746.21</v>
      </c>
      <c r="U152">
        <v>60</v>
      </c>
      <c r="V152">
        <v>4935.17</v>
      </c>
      <c r="W152">
        <v>3632.83</v>
      </c>
      <c r="X152">
        <v>7299.94</v>
      </c>
      <c r="Y152">
        <v>0</v>
      </c>
      <c r="Z152">
        <v>913.28</v>
      </c>
      <c r="AA152">
        <v>322.05</v>
      </c>
      <c r="AB152">
        <v>1057.48</v>
      </c>
      <c r="AC152">
        <v>18746.21</v>
      </c>
      <c r="AD152">
        <v>0.2</v>
      </c>
      <c r="AE152">
        <v>0.63</v>
      </c>
      <c r="AF152">
        <v>0.27</v>
      </c>
      <c r="AG152">
        <v>1.71</v>
      </c>
      <c r="AH152">
        <v>0</v>
      </c>
      <c r="AI152">
        <v>0</v>
      </c>
      <c r="AJ152">
        <v>0</v>
      </c>
      <c r="AK152">
        <v>0</v>
      </c>
      <c r="AL152">
        <v>5848.45</v>
      </c>
      <c r="AM152">
        <v>3954.88</v>
      </c>
      <c r="AN152">
        <v>8357.42</v>
      </c>
      <c r="AO152">
        <v>18746.21</v>
      </c>
      <c r="AP152">
        <v>41593.19</v>
      </c>
      <c r="AQ152">
        <v>7198.29</v>
      </c>
      <c r="AR152">
        <v>22371.409999999902</v>
      </c>
      <c r="AS152">
        <v>83612.7</v>
      </c>
      <c r="AT152">
        <v>27.215519999999898</v>
      </c>
      <c r="AU152">
        <v>26.4262699199999</v>
      </c>
      <c r="AV152">
        <v>1880889.76155599</v>
      </c>
      <c r="AW152">
        <v>10901980.800000001</v>
      </c>
      <c r="AX152">
        <v>5.7961827550069396</v>
      </c>
      <c r="AY152">
        <v>67974.5747999999</v>
      </c>
      <c r="AZ152">
        <v>1.0226493968850701</v>
      </c>
      <c r="BA152">
        <v>82614.634146341399</v>
      </c>
      <c r="BB152">
        <v>1.2429030417949301</v>
      </c>
      <c r="BC152">
        <v>22.540103448275801</v>
      </c>
    </row>
    <row r="153" spans="1:55" x14ac:dyDescent="0.2">
      <c r="A153" t="s">
        <v>353</v>
      </c>
      <c r="B153" t="s">
        <v>354</v>
      </c>
      <c r="C153">
        <v>0</v>
      </c>
      <c r="D153">
        <v>1</v>
      </c>
      <c r="E153">
        <v>0</v>
      </c>
      <c r="F153">
        <v>350</v>
      </c>
      <c r="G153">
        <v>0</v>
      </c>
      <c r="H153">
        <v>0</v>
      </c>
      <c r="I153">
        <v>351</v>
      </c>
      <c r="J153">
        <v>3394.19</v>
      </c>
      <c r="K153">
        <v>33489</v>
      </c>
      <c r="L153">
        <v>23442.3</v>
      </c>
      <c r="M153">
        <v>5660.56</v>
      </c>
      <c r="N153">
        <v>1</v>
      </c>
      <c r="O153">
        <v>230.58</v>
      </c>
      <c r="P153">
        <v>2592600</v>
      </c>
      <c r="Q153">
        <v>10207.83</v>
      </c>
      <c r="R153">
        <v>319.14</v>
      </c>
      <c r="S153">
        <v>1418.76</v>
      </c>
      <c r="T153">
        <v>57462.64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10207.83</v>
      </c>
      <c r="AA153">
        <v>319.14</v>
      </c>
      <c r="AB153">
        <v>1418.76</v>
      </c>
      <c r="AC153">
        <v>57462.64</v>
      </c>
      <c r="AD153">
        <v>1</v>
      </c>
      <c r="AE153">
        <v>0.16</v>
      </c>
      <c r="AF153">
        <v>0.14000000000000001</v>
      </c>
      <c r="AG153">
        <v>3.43</v>
      </c>
      <c r="AH153">
        <v>17521.599999999999</v>
      </c>
      <c r="AI153">
        <v>14367.71</v>
      </c>
      <c r="AJ153">
        <v>28472.6</v>
      </c>
      <c r="AK153">
        <v>276841.28000000003</v>
      </c>
      <c r="AL153">
        <v>10207.83</v>
      </c>
      <c r="AM153">
        <v>319.14</v>
      </c>
      <c r="AN153">
        <v>1418.76</v>
      </c>
      <c r="AO153">
        <v>57462.64</v>
      </c>
      <c r="AP153">
        <v>5920.6999999999898</v>
      </c>
      <c r="AQ153">
        <v>-8707.1499999999905</v>
      </c>
      <c r="AR153">
        <v>-28471.599999999999</v>
      </c>
      <c r="AS153">
        <v>-276610.7</v>
      </c>
      <c r="AT153">
        <v>0.453592</v>
      </c>
      <c r="AU153">
        <v>0.44043783199999997</v>
      </c>
      <c r="AV153">
        <v>160.75980867999999</v>
      </c>
      <c r="AW153">
        <v>9814053.966</v>
      </c>
      <c r="AX153">
        <v>61047.9326056883</v>
      </c>
      <c r="AY153">
        <v>43852.934800000003</v>
      </c>
      <c r="AZ153">
        <v>1.3094728059959899</v>
      </c>
      <c r="BA153">
        <v>47102.804878048701</v>
      </c>
      <c r="BB153">
        <v>1.40651571793869</v>
      </c>
      <c r="BC153">
        <v>26.301604611604599</v>
      </c>
    </row>
    <row r="154" spans="1:55" x14ac:dyDescent="0.2">
      <c r="A154" t="s">
        <v>355</v>
      </c>
      <c r="B154" t="s">
        <v>356</v>
      </c>
      <c r="C154">
        <v>3235</v>
      </c>
      <c r="D154">
        <v>610</v>
      </c>
      <c r="E154">
        <v>0</v>
      </c>
      <c r="F154">
        <v>0</v>
      </c>
      <c r="G154">
        <v>0</v>
      </c>
      <c r="H154">
        <v>0</v>
      </c>
      <c r="I154">
        <v>3845</v>
      </c>
      <c r="J154">
        <v>97386.38</v>
      </c>
      <c r="K154">
        <v>1269243.19</v>
      </c>
      <c r="L154">
        <v>888470.23</v>
      </c>
      <c r="M154">
        <v>211728.03</v>
      </c>
      <c r="N154">
        <v>651066.75</v>
      </c>
      <c r="O154">
        <v>1668026.7</v>
      </c>
      <c r="P154">
        <v>134241600</v>
      </c>
      <c r="Q154">
        <v>387124.38</v>
      </c>
      <c r="R154">
        <v>49481.51</v>
      </c>
      <c r="S154">
        <v>504035.18</v>
      </c>
      <c r="T154">
        <v>2141043.8199999998</v>
      </c>
      <c r="U154">
        <v>84</v>
      </c>
      <c r="V154">
        <v>202768.48</v>
      </c>
      <c r="W154">
        <v>38194.43</v>
      </c>
      <c r="X154">
        <v>83575.41</v>
      </c>
      <c r="Y154">
        <v>921032.59</v>
      </c>
      <c r="Z154">
        <v>387124.38</v>
      </c>
      <c r="AA154">
        <v>49481.51</v>
      </c>
      <c r="AB154">
        <v>504035.18</v>
      </c>
      <c r="AC154">
        <v>2141043.8199999998</v>
      </c>
      <c r="AD154">
        <v>0.88</v>
      </c>
      <c r="AE154">
        <v>0.67</v>
      </c>
      <c r="AF154">
        <v>0.61</v>
      </c>
      <c r="AG154">
        <v>1.47</v>
      </c>
      <c r="AH154">
        <v>0</v>
      </c>
      <c r="AI154">
        <v>0</v>
      </c>
      <c r="AJ154">
        <v>0</v>
      </c>
      <c r="AK154">
        <v>0</v>
      </c>
      <c r="AL154">
        <v>589892.86</v>
      </c>
      <c r="AM154">
        <v>87675.94</v>
      </c>
      <c r="AN154">
        <v>587610.59</v>
      </c>
      <c r="AO154">
        <v>3062076.4099999899</v>
      </c>
      <c r="AP154">
        <v>685701.74999999895</v>
      </c>
      <c r="AQ154">
        <v>173533.6</v>
      </c>
      <c r="AR154">
        <v>567491.34</v>
      </c>
      <c r="AS154">
        <v>746994.10999999905</v>
      </c>
      <c r="AT154">
        <v>38.101728000000001</v>
      </c>
      <c r="AU154">
        <v>36.996777887999997</v>
      </c>
      <c r="AV154">
        <v>51922203.007466301</v>
      </c>
      <c r="AW154">
        <v>508159495.05599999</v>
      </c>
      <c r="AX154">
        <v>9.7869401840081096</v>
      </c>
      <c r="AY154">
        <v>1258232.0296</v>
      </c>
      <c r="AZ154">
        <v>0.99132462518865205</v>
      </c>
      <c r="BA154">
        <v>1403425</v>
      </c>
      <c r="BB154">
        <v>1.10571796725574</v>
      </c>
      <c r="BC154">
        <v>25.3280572171651</v>
      </c>
    </row>
    <row r="155" spans="1:55" x14ac:dyDescent="0.2">
      <c r="A155" t="s">
        <v>357</v>
      </c>
      <c r="B155" t="s">
        <v>358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1</v>
      </c>
      <c r="L155">
        <v>0.7</v>
      </c>
      <c r="M155">
        <v>1</v>
      </c>
      <c r="N155">
        <v>1</v>
      </c>
      <c r="O155">
        <v>0</v>
      </c>
      <c r="P155">
        <v>2086500</v>
      </c>
      <c r="Q155">
        <v>262.92</v>
      </c>
      <c r="R155">
        <v>111.44</v>
      </c>
      <c r="S155">
        <v>835.77</v>
      </c>
      <c r="T155">
        <v>4126.6099999999997</v>
      </c>
      <c r="U155">
        <v>1</v>
      </c>
      <c r="V155">
        <v>18060</v>
      </c>
      <c r="W155">
        <v>6132</v>
      </c>
      <c r="X155">
        <v>3948</v>
      </c>
      <c r="Y155">
        <v>536760</v>
      </c>
      <c r="Z155">
        <v>262.92</v>
      </c>
      <c r="AA155">
        <v>111.44</v>
      </c>
      <c r="AB155">
        <v>835.77</v>
      </c>
      <c r="AC155">
        <v>4126.6099999999997</v>
      </c>
      <c r="AD155">
        <v>1.23</v>
      </c>
      <c r="AE155">
        <v>2.44</v>
      </c>
      <c r="AF155">
        <v>0.23</v>
      </c>
      <c r="AG155">
        <v>7.53</v>
      </c>
      <c r="AH155">
        <v>41193.360000000001</v>
      </c>
      <c r="AI155">
        <v>74249.759999999995</v>
      </c>
      <c r="AJ155">
        <v>3559.92</v>
      </c>
      <c r="AK155">
        <v>0</v>
      </c>
      <c r="AL155">
        <v>18322.919999999998</v>
      </c>
      <c r="AM155">
        <v>6243.44</v>
      </c>
      <c r="AN155">
        <v>4783.7700000000004</v>
      </c>
      <c r="AO155">
        <v>540886.61</v>
      </c>
      <c r="AP155">
        <v>-59252.66</v>
      </c>
      <c r="AQ155">
        <v>-80380.759999999995</v>
      </c>
      <c r="AR155">
        <v>-7506.92</v>
      </c>
      <c r="AS155">
        <v>-536760</v>
      </c>
      <c r="AT155">
        <v>0.453592</v>
      </c>
      <c r="AU155">
        <v>0.44043783199999997</v>
      </c>
      <c r="AV155">
        <v>0</v>
      </c>
      <c r="AW155">
        <v>7898257.9649999999</v>
      </c>
    </row>
    <row r="156" spans="1:55" x14ac:dyDescent="0.2">
      <c r="A156" t="s">
        <v>359</v>
      </c>
      <c r="B156" t="s">
        <v>360</v>
      </c>
      <c r="C156">
        <v>225</v>
      </c>
      <c r="D156">
        <v>28</v>
      </c>
      <c r="E156">
        <v>115</v>
      </c>
      <c r="F156">
        <v>62</v>
      </c>
      <c r="G156">
        <v>24</v>
      </c>
      <c r="H156">
        <v>53</v>
      </c>
      <c r="I156">
        <v>507</v>
      </c>
      <c r="J156">
        <v>7653.55</v>
      </c>
      <c r="K156">
        <v>95694.67</v>
      </c>
      <c r="L156">
        <v>66986.27</v>
      </c>
      <c r="M156">
        <v>15533.63</v>
      </c>
      <c r="N156">
        <v>40687.72</v>
      </c>
      <c r="O156">
        <v>112687.74</v>
      </c>
      <c r="P156">
        <v>4065000</v>
      </c>
      <c r="Q156">
        <v>12815.09</v>
      </c>
      <c r="R156">
        <v>3045.42</v>
      </c>
      <c r="S156">
        <v>20578.060000000001</v>
      </c>
      <c r="T156">
        <v>172549.57</v>
      </c>
      <c r="U156">
        <v>53</v>
      </c>
      <c r="V156">
        <v>0</v>
      </c>
      <c r="W156">
        <v>0</v>
      </c>
      <c r="X156">
        <v>0</v>
      </c>
      <c r="Y156">
        <v>0</v>
      </c>
      <c r="Z156">
        <v>12815.09</v>
      </c>
      <c r="AA156">
        <v>3045.42</v>
      </c>
      <c r="AB156">
        <v>20578.060000000001</v>
      </c>
      <c r="AC156">
        <v>172549.57</v>
      </c>
      <c r="AD156">
        <v>1.31</v>
      </c>
      <c r="AE156">
        <v>1.08</v>
      </c>
      <c r="AF156">
        <v>1.04</v>
      </c>
      <c r="AG156">
        <v>2.4900000000000002</v>
      </c>
      <c r="AH156">
        <v>35001.78</v>
      </c>
      <c r="AI156">
        <v>12182.94</v>
      </c>
      <c r="AJ156">
        <v>31327.56</v>
      </c>
      <c r="AK156">
        <v>1067457.6000000001</v>
      </c>
      <c r="AL156">
        <v>12815.09</v>
      </c>
      <c r="AM156">
        <v>3045.42</v>
      </c>
      <c r="AN156">
        <v>20578.060000000001</v>
      </c>
      <c r="AO156">
        <v>172549.57</v>
      </c>
      <c r="AP156">
        <v>31984.49</v>
      </c>
      <c r="AQ156">
        <v>3350.6899999999901</v>
      </c>
      <c r="AR156">
        <v>9360.16</v>
      </c>
      <c r="AS156">
        <v>-954769.86</v>
      </c>
      <c r="AT156">
        <v>24.040375999999998</v>
      </c>
      <c r="AU156">
        <v>23.343205095999998</v>
      </c>
      <c r="AV156">
        <v>2155628.2745901099</v>
      </c>
      <c r="AW156">
        <v>15387691.65</v>
      </c>
      <c r="AX156">
        <v>7.1383790198826702</v>
      </c>
      <c r="AY156">
        <v>98883.865999999995</v>
      </c>
      <c r="AZ156">
        <v>1.0333267882108701</v>
      </c>
      <c r="BA156">
        <v>119408.414634146</v>
      </c>
      <c r="BB156">
        <v>1.24780632645628</v>
      </c>
      <c r="BC156">
        <v>22.124765564408001</v>
      </c>
    </row>
    <row r="157" spans="1:55" x14ac:dyDescent="0.2">
      <c r="A157" t="s">
        <v>361</v>
      </c>
      <c r="B157" t="s">
        <v>362</v>
      </c>
      <c r="C157">
        <v>104</v>
      </c>
      <c r="D157">
        <v>5</v>
      </c>
      <c r="E157">
        <v>0</v>
      </c>
      <c r="F157">
        <v>0</v>
      </c>
      <c r="G157">
        <v>0</v>
      </c>
      <c r="H157">
        <v>0</v>
      </c>
      <c r="I157">
        <v>109</v>
      </c>
      <c r="J157">
        <v>2767.91</v>
      </c>
      <c r="K157">
        <v>36210.129999999997</v>
      </c>
      <c r="L157">
        <v>25347.09</v>
      </c>
      <c r="M157">
        <v>6100.7</v>
      </c>
      <c r="N157">
        <v>20108.560000000001</v>
      </c>
      <c r="O157">
        <v>50255.46</v>
      </c>
      <c r="P157">
        <v>2405000</v>
      </c>
      <c r="Q157">
        <v>11467</v>
      </c>
      <c r="R157">
        <v>2564.46</v>
      </c>
      <c r="S157">
        <v>11596.09</v>
      </c>
      <c r="T157">
        <v>55462.96</v>
      </c>
      <c r="U157">
        <v>72</v>
      </c>
      <c r="V157">
        <v>0</v>
      </c>
      <c r="W157">
        <v>0</v>
      </c>
      <c r="X157">
        <v>0</v>
      </c>
      <c r="Y157">
        <v>0</v>
      </c>
      <c r="Z157">
        <v>11467</v>
      </c>
      <c r="AA157">
        <v>2564.46</v>
      </c>
      <c r="AB157">
        <v>11596.09</v>
      </c>
      <c r="AC157">
        <v>55462.96</v>
      </c>
      <c r="AD157">
        <v>1.1499999999999999</v>
      </c>
      <c r="AE157">
        <v>0.74</v>
      </c>
      <c r="AF157">
        <v>0.63</v>
      </c>
      <c r="AG157">
        <v>1.3</v>
      </c>
      <c r="AH157">
        <v>44795.3</v>
      </c>
      <c r="AI157">
        <v>11166.98</v>
      </c>
      <c r="AJ157">
        <v>34392.6</v>
      </c>
      <c r="AK157">
        <v>0</v>
      </c>
      <c r="AL157">
        <v>11467</v>
      </c>
      <c r="AM157">
        <v>2564.46</v>
      </c>
      <c r="AN157">
        <v>11596.09</v>
      </c>
      <c r="AO157">
        <v>55462.96</v>
      </c>
      <c r="AP157">
        <v>-19448.21</v>
      </c>
      <c r="AQ157">
        <v>-5066.28</v>
      </c>
      <c r="AR157">
        <v>-14284.039999999901</v>
      </c>
      <c r="AS157">
        <v>50255.46</v>
      </c>
      <c r="AT157">
        <v>32.658624000000003</v>
      </c>
      <c r="AU157">
        <v>31.711523904</v>
      </c>
      <c r="AV157">
        <v>1261642.9785206399</v>
      </c>
      <c r="AW157">
        <v>9103911.0500000007</v>
      </c>
      <c r="AX157">
        <v>7.2159170264435097</v>
      </c>
      <c r="AY157">
        <v>35761.397199999999</v>
      </c>
      <c r="AZ157">
        <v>0.98760753413478497</v>
      </c>
      <c r="BA157">
        <v>39785</v>
      </c>
      <c r="BB157">
        <v>1.09872568808783</v>
      </c>
      <c r="BC157">
        <v>25.3936697247706</v>
      </c>
    </row>
    <row r="158" spans="1:55" x14ac:dyDescent="0.2">
      <c r="A158" t="s">
        <v>363</v>
      </c>
      <c r="B158" t="s">
        <v>364</v>
      </c>
      <c r="C158">
        <v>260</v>
      </c>
      <c r="D158">
        <v>35</v>
      </c>
      <c r="E158">
        <v>23</v>
      </c>
      <c r="F158">
        <v>81</v>
      </c>
      <c r="G158">
        <v>59</v>
      </c>
      <c r="H158">
        <v>0</v>
      </c>
      <c r="I158">
        <v>458</v>
      </c>
      <c r="J158">
        <v>8271.34</v>
      </c>
      <c r="K158">
        <v>105962.42</v>
      </c>
      <c r="L158">
        <v>74173.69</v>
      </c>
      <c r="M158">
        <v>17389.62</v>
      </c>
      <c r="N158">
        <v>49586.239999999998</v>
      </c>
      <c r="O158">
        <v>130826.7</v>
      </c>
      <c r="P158">
        <v>5436000</v>
      </c>
      <c r="Q158">
        <v>7401.15</v>
      </c>
      <c r="R158">
        <v>2109.4899999999998</v>
      </c>
      <c r="S158">
        <v>15708.96</v>
      </c>
      <c r="T158">
        <v>76931.55</v>
      </c>
      <c r="U158">
        <v>68</v>
      </c>
      <c r="V158">
        <v>9924.5300000000007</v>
      </c>
      <c r="W158">
        <v>2635.13</v>
      </c>
      <c r="X158">
        <v>11445.53</v>
      </c>
      <c r="Y158">
        <v>329676.75</v>
      </c>
      <c r="Z158">
        <v>7401.15</v>
      </c>
      <c r="AA158">
        <v>2109.4899999999998</v>
      </c>
      <c r="AB158">
        <v>15708.96</v>
      </c>
      <c r="AC158">
        <v>76931.55</v>
      </c>
      <c r="AD158">
        <v>2.46</v>
      </c>
      <c r="AE158">
        <v>2.38</v>
      </c>
      <c r="AF158">
        <v>2.0299999999999998</v>
      </c>
      <c r="AG158">
        <v>3.73</v>
      </c>
      <c r="AH158">
        <v>0</v>
      </c>
      <c r="AI158">
        <v>0</v>
      </c>
      <c r="AJ158">
        <v>0</v>
      </c>
      <c r="AK158">
        <v>0</v>
      </c>
      <c r="AL158">
        <v>17325.68</v>
      </c>
      <c r="AM158">
        <v>4744.62</v>
      </c>
      <c r="AN158">
        <v>27154.4899999999</v>
      </c>
      <c r="AO158">
        <v>406608.3</v>
      </c>
      <c r="AP158">
        <v>64249.159999999902</v>
      </c>
      <c r="AQ158">
        <v>14754.49</v>
      </c>
      <c r="AR158">
        <v>38140.71</v>
      </c>
      <c r="AS158">
        <v>-198850.05</v>
      </c>
      <c r="AT158">
        <v>30.844256000000001</v>
      </c>
      <c r="AU158">
        <v>29.949772576000001</v>
      </c>
      <c r="AV158">
        <v>3224841.7621208001</v>
      </c>
      <c r="AW158">
        <v>20577488.760000002</v>
      </c>
      <c r="AX158">
        <v>6.3809297565246501</v>
      </c>
      <c r="AY158">
        <v>106865.71279999999</v>
      </c>
      <c r="AZ158">
        <v>1.00852465241922</v>
      </c>
      <c r="BA158">
        <v>124189.02439024299</v>
      </c>
      <c r="BB158">
        <v>1.1720100804628999</v>
      </c>
      <c r="BC158">
        <v>23.323585969738598</v>
      </c>
    </row>
    <row r="159" spans="1:55" x14ac:dyDescent="0.2">
      <c r="A159" t="s">
        <v>365</v>
      </c>
      <c r="B159" t="s">
        <v>366</v>
      </c>
      <c r="C159">
        <v>2420</v>
      </c>
      <c r="D159">
        <v>400</v>
      </c>
      <c r="E159">
        <v>1610</v>
      </c>
      <c r="F159">
        <v>2520</v>
      </c>
      <c r="G159">
        <v>640</v>
      </c>
      <c r="H159">
        <v>0</v>
      </c>
      <c r="I159">
        <v>7590</v>
      </c>
      <c r="J159">
        <v>114118.94</v>
      </c>
      <c r="K159">
        <v>1364977.79</v>
      </c>
      <c r="L159">
        <v>955484.45</v>
      </c>
      <c r="M159">
        <v>225854.96</v>
      </c>
      <c r="N159">
        <v>487042.21</v>
      </c>
      <c r="O159">
        <v>1234810.8</v>
      </c>
      <c r="P159">
        <v>192810900</v>
      </c>
      <c r="Q159">
        <v>419821.46</v>
      </c>
      <c r="R159">
        <v>87621.21</v>
      </c>
      <c r="S159">
        <v>834685.8</v>
      </c>
      <c r="T159">
        <v>3085318.41</v>
      </c>
      <c r="U159">
        <v>84</v>
      </c>
      <c r="V159">
        <v>187051.8</v>
      </c>
      <c r="W159">
        <v>48307.42</v>
      </c>
      <c r="X159">
        <v>247709.47</v>
      </c>
      <c r="Y159">
        <v>1758657.09</v>
      </c>
      <c r="Z159">
        <v>419821.46</v>
      </c>
      <c r="AA159">
        <v>87621.21</v>
      </c>
      <c r="AB159">
        <v>834685.8</v>
      </c>
      <c r="AC159">
        <v>3085318.41</v>
      </c>
      <c r="AD159">
        <v>0.84</v>
      </c>
      <c r="AE159">
        <v>0.98</v>
      </c>
      <c r="AF159">
        <v>1.08</v>
      </c>
      <c r="AG159">
        <v>1.37</v>
      </c>
      <c r="AH159">
        <v>0</v>
      </c>
      <c r="AI159">
        <v>0</v>
      </c>
      <c r="AJ159">
        <v>0</v>
      </c>
      <c r="AK159">
        <v>0</v>
      </c>
      <c r="AL159">
        <v>606873.26</v>
      </c>
      <c r="AM159">
        <v>135928.63</v>
      </c>
      <c r="AN159">
        <v>1082395.27</v>
      </c>
      <c r="AO159">
        <v>4843975.5</v>
      </c>
      <c r="AP159">
        <v>768432.64999999898</v>
      </c>
      <c r="AQ159">
        <v>177547.53999999899</v>
      </c>
      <c r="AR159">
        <v>239332.74</v>
      </c>
      <c r="AS159">
        <v>-523846.29</v>
      </c>
      <c r="AT159">
        <v>38.101728000000001</v>
      </c>
      <c r="AU159">
        <v>36.996777887999997</v>
      </c>
      <c r="AV159">
        <v>38080783.480118401</v>
      </c>
      <c r="AW159">
        <v>729868308.96899998</v>
      </c>
      <c r="AX159">
        <v>19.166315455406899</v>
      </c>
      <c r="AY159">
        <v>1474416.7047999999</v>
      </c>
      <c r="AZ159">
        <v>1.0801763337116199</v>
      </c>
      <c r="BA159">
        <v>1609293.9024390201</v>
      </c>
      <c r="BB159">
        <v>1.1789890753013801</v>
      </c>
      <c r="BC159">
        <v>24.9980047016081</v>
      </c>
    </row>
    <row r="160" spans="1:55" x14ac:dyDescent="0.2">
      <c r="A160" t="s">
        <v>367</v>
      </c>
      <c r="B160" t="s">
        <v>368</v>
      </c>
      <c r="C160">
        <v>350</v>
      </c>
      <c r="D160">
        <v>30</v>
      </c>
      <c r="E160">
        <v>100</v>
      </c>
      <c r="F160">
        <v>80</v>
      </c>
      <c r="G160">
        <v>0</v>
      </c>
      <c r="H160">
        <v>0</v>
      </c>
      <c r="I160">
        <v>560</v>
      </c>
      <c r="J160">
        <v>10914.51</v>
      </c>
      <c r="K160">
        <v>136015.17000000001</v>
      </c>
      <c r="L160">
        <v>95210.62</v>
      </c>
      <c r="M160">
        <v>22757.919999999998</v>
      </c>
      <c r="N160">
        <v>65367.23</v>
      </c>
      <c r="O160">
        <v>172166.39999999999</v>
      </c>
      <c r="P160">
        <v>12600000</v>
      </c>
      <c r="Q160">
        <v>28271.52</v>
      </c>
      <c r="R160">
        <v>6628.47</v>
      </c>
      <c r="S160">
        <v>68377.59</v>
      </c>
      <c r="T160">
        <v>383836.62</v>
      </c>
      <c r="U160">
        <v>62</v>
      </c>
      <c r="V160">
        <v>0</v>
      </c>
      <c r="W160">
        <v>0</v>
      </c>
      <c r="X160">
        <v>0</v>
      </c>
      <c r="Y160">
        <v>0</v>
      </c>
      <c r="Z160">
        <v>28271.52</v>
      </c>
      <c r="AA160">
        <v>6628.47</v>
      </c>
      <c r="AB160">
        <v>68377.59</v>
      </c>
      <c r="AC160">
        <v>383836.62</v>
      </c>
      <c r="AD160">
        <v>1.21</v>
      </c>
      <c r="AE160">
        <v>1.03</v>
      </c>
      <c r="AF160">
        <v>1.1499999999999999</v>
      </c>
      <c r="AG160">
        <v>5.75</v>
      </c>
      <c r="AH160">
        <v>0</v>
      </c>
      <c r="AI160">
        <v>0</v>
      </c>
      <c r="AJ160">
        <v>0</v>
      </c>
      <c r="AK160">
        <v>0</v>
      </c>
      <c r="AL160">
        <v>28271.52</v>
      </c>
      <c r="AM160">
        <v>6628.47</v>
      </c>
      <c r="AN160">
        <v>68377.59</v>
      </c>
      <c r="AO160">
        <v>383836.62</v>
      </c>
      <c r="AP160">
        <v>95210.62</v>
      </c>
      <c r="AQ160">
        <v>22757.919999999998</v>
      </c>
      <c r="AR160">
        <v>65367.23</v>
      </c>
      <c r="AS160">
        <v>172166.39999999999</v>
      </c>
      <c r="AT160">
        <v>28.122703999999999</v>
      </c>
      <c r="AU160">
        <v>27.307145583999901</v>
      </c>
      <c r="AV160">
        <v>3787501.0925007998</v>
      </c>
      <c r="AW160">
        <v>47696166</v>
      </c>
      <c r="AX160">
        <v>12.5930434962613</v>
      </c>
      <c r="AY160">
        <v>141015.46919999999</v>
      </c>
      <c r="AZ160">
        <v>1.03676280520768</v>
      </c>
      <c r="BA160">
        <v>162736.58536585301</v>
      </c>
      <c r="BB160">
        <v>1.19645908148226</v>
      </c>
      <c r="BC160">
        <v>24.480027899343501</v>
      </c>
    </row>
    <row r="161" spans="1:55" x14ac:dyDescent="0.2">
      <c r="A161" t="s">
        <v>369</v>
      </c>
      <c r="B161" t="s">
        <v>370</v>
      </c>
      <c r="C161">
        <v>768</v>
      </c>
      <c r="D161">
        <v>73</v>
      </c>
      <c r="E161">
        <v>93</v>
      </c>
      <c r="F161">
        <v>241</v>
      </c>
      <c r="G161">
        <v>89</v>
      </c>
      <c r="H161">
        <v>45</v>
      </c>
      <c r="I161">
        <v>1309</v>
      </c>
      <c r="J161">
        <v>24319.53</v>
      </c>
      <c r="K161">
        <v>306741.11</v>
      </c>
      <c r="L161">
        <v>214718.78</v>
      </c>
      <c r="M161">
        <v>50700.66</v>
      </c>
      <c r="N161">
        <v>145964.17000000001</v>
      </c>
      <c r="O161">
        <v>379435.86</v>
      </c>
      <c r="P161">
        <v>21277994</v>
      </c>
      <c r="Q161">
        <v>50625.63</v>
      </c>
      <c r="R161">
        <v>3310.8</v>
      </c>
      <c r="S161">
        <v>60451.03</v>
      </c>
      <c r="T161">
        <v>511775.89</v>
      </c>
      <c r="U161">
        <v>67</v>
      </c>
      <c r="V161">
        <v>0</v>
      </c>
      <c r="W161">
        <v>0</v>
      </c>
      <c r="X161">
        <v>0</v>
      </c>
      <c r="Y161">
        <v>0</v>
      </c>
      <c r="Z161">
        <v>50625.63</v>
      </c>
      <c r="AA161">
        <v>3310.8</v>
      </c>
      <c r="AB161">
        <v>60451.03</v>
      </c>
      <c r="AC161">
        <v>511775.89</v>
      </c>
      <c r="AD161">
        <v>1.21</v>
      </c>
      <c r="AE161">
        <v>0.32</v>
      </c>
      <c r="AF161">
        <v>0.77</v>
      </c>
      <c r="AG161">
        <v>1.84</v>
      </c>
      <c r="AH161">
        <v>19515.650000000001</v>
      </c>
      <c r="AI161">
        <v>7461.41</v>
      </c>
      <c r="AJ161">
        <v>26246.5</v>
      </c>
      <c r="AK161">
        <v>0</v>
      </c>
      <c r="AL161">
        <v>50625.63</v>
      </c>
      <c r="AM161">
        <v>3310.8</v>
      </c>
      <c r="AN161">
        <v>60451.03</v>
      </c>
      <c r="AO161">
        <v>511775.89</v>
      </c>
      <c r="AP161">
        <v>195203.12999999899</v>
      </c>
      <c r="AQ161">
        <v>43239.25</v>
      </c>
      <c r="AR161">
        <v>119717.67</v>
      </c>
      <c r="AS161">
        <v>379435.86</v>
      </c>
      <c r="AT161">
        <v>30.390664000000001</v>
      </c>
      <c r="AU161">
        <v>29.509334744</v>
      </c>
      <c r="AV161">
        <v>9058332.9396919496</v>
      </c>
      <c r="AW161">
        <v>80545931.267539993</v>
      </c>
      <c r="AX161">
        <v>8.8919155217404793</v>
      </c>
      <c r="AY161">
        <v>314208.32759999897</v>
      </c>
      <c r="AZ161">
        <v>1.0243437131723201</v>
      </c>
      <c r="BA161">
        <v>357530.85365853598</v>
      </c>
      <c r="BB161">
        <v>1.1655785351319099</v>
      </c>
      <c r="BC161">
        <v>24.025944676031902</v>
      </c>
    </row>
    <row r="162" spans="1:55" x14ac:dyDescent="0.2">
      <c r="A162" t="s">
        <v>371</v>
      </c>
      <c r="B162" t="s">
        <v>372</v>
      </c>
      <c r="C162">
        <v>600</v>
      </c>
      <c r="D162">
        <v>80</v>
      </c>
      <c r="E162">
        <v>300</v>
      </c>
      <c r="F162">
        <v>300</v>
      </c>
      <c r="G162">
        <v>100</v>
      </c>
      <c r="H162">
        <v>0</v>
      </c>
      <c r="I162">
        <v>1380</v>
      </c>
      <c r="J162">
        <v>22923.42</v>
      </c>
      <c r="K162">
        <v>280485.77</v>
      </c>
      <c r="L162">
        <v>196340.04</v>
      </c>
      <c r="M162">
        <v>46456.76</v>
      </c>
      <c r="N162">
        <v>116010.91</v>
      </c>
      <c r="O162">
        <v>301730.40000000002</v>
      </c>
      <c r="P162">
        <v>28656000</v>
      </c>
      <c r="Q162">
        <v>108205.28</v>
      </c>
      <c r="R162">
        <v>9986.92</v>
      </c>
      <c r="S162">
        <v>138669.07</v>
      </c>
      <c r="T162">
        <v>1377365.62</v>
      </c>
      <c r="U162">
        <v>72</v>
      </c>
      <c r="V162">
        <v>8761.39</v>
      </c>
      <c r="W162">
        <v>2396.5500000000002</v>
      </c>
      <c r="X162">
        <v>2569.8200000000002</v>
      </c>
      <c r="Y162">
        <v>125211.6</v>
      </c>
      <c r="Z162">
        <v>108205.28</v>
      </c>
      <c r="AA162">
        <v>9986.92</v>
      </c>
      <c r="AB162">
        <v>138669.07</v>
      </c>
      <c r="AC162">
        <v>1377365.62</v>
      </c>
      <c r="AD162">
        <v>1.23</v>
      </c>
      <c r="AE162">
        <v>0.89</v>
      </c>
      <c r="AF162">
        <v>0.95</v>
      </c>
      <c r="AG162">
        <v>2.9</v>
      </c>
      <c r="AH162">
        <v>0</v>
      </c>
      <c r="AI162">
        <v>0</v>
      </c>
      <c r="AJ162">
        <v>0</v>
      </c>
      <c r="AK162">
        <v>0</v>
      </c>
      <c r="AL162">
        <v>116966.67</v>
      </c>
      <c r="AM162">
        <v>12383.47</v>
      </c>
      <c r="AN162">
        <v>141238.89000000001</v>
      </c>
      <c r="AO162">
        <v>1502577.22</v>
      </c>
      <c r="AP162">
        <v>187578.65</v>
      </c>
      <c r="AQ162">
        <v>44060.21</v>
      </c>
      <c r="AR162">
        <v>113441.09</v>
      </c>
      <c r="AS162">
        <v>176518.799999999</v>
      </c>
      <c r="AT162">
        <v>32.658624000000003</v>
      </c>
      <c r="AU162">
        <v>31.711523904</v>
      </c>
      <c r="AV162">
        <v>7870800.2329727998</v>
      </c>
      <c r="AW162">
        <v>108474708.95999999</v>
      </c>
      <c r="AX162">
        <v>13.7819161647085</v>
      </c>
      <c r="AY162">
        <v>296170.58639999997</v>
      </c>
      <c r="AZ162">
        <v>1.05592018589748</v>
      </c>
      <c r="BA162">
        <v>332773.17073170701</v>
      </c>
      <c r="BB162">
        <v>1.1864173028517799</v>
      </c>
      <c r="BC162">
        <v>24.488280875455899</v>
      </c>
    </row>
    <row r="163" spans="1:55" x14ac:dyDescent="0.2">
      <c r="A163" t="s">
        <v>373</v>
      </c>
      <c r="B163" t="s">
        <v>374</v>
      </c>
      <c r="C163">
        <v>950</v>
      </c>
      <c r="D163">
        <v>225</v>
      </c>
      <c r="E163">
        <v>350</v>
      </c>
      <c r="F163">
        <v>350</v>
      </c>
      <c r="G163">
        <v>200</v>
      </c>
      <c r="H163">
        <v>150</v>
      </c>
      <c r="I163">
        <v>2225</v>
      </c>
      <c r="J163">
        <v>35977.74</v>
      </c>
      <c r="K163">
        <v>445205</v>
      </c>
      <c r="L163">
        <v>311643.5</v>
      </c>
      <c r="M163">
        <v>72062.81</v>
      </c>
      <c r="N163">
        <v>182432.21</v>
      </c>
      <c r="O163">
        <v>500413.5</v>
      </c>
      <c r="P163">
        <v>5795000</v>
      </c>
      <c r="Q163">
        <v>53431.8</v>
      </c>
      <c r="R163">
        <v>3348.35</v>
      </c>
      <c r="S163">
        <v>65938.23</v>
      </c>
      <c r="T163">
        <v>320802.25</v>
      </c>
      <c r="U163">
        <v>70</v>
      </c>
      <c r="V163">
        <v>57708.86</v>
      </c>
      <c r="W163">
        <v>16355.05</v>
      </c>
      <c r="X163">
        <v>75030.3</v>
      </c>
      <c r="Y163">
        <v>1315575.1200000001</v>
      </c>
      <c r="Z163">
        <v>53431.8</v>
      </c>
      <c r="AA163">
        <v>3348.35</v>
      </c>
      <c r="AB163">
        <v>65938.23</v>
      </c>
      <c r="AC163">
        <v>320802.25</v>
      </c>
      <c r="AD163">
        <v>1.24</v>
      </c>
      <c r="AE163">
        <v>0.91</v>
      </c>
      <c r="AF163">
        <v>0.66</v>
      </c>
      <c r="AG163">
        <v>3.6</v>
      </c>
      <c r="AH163">
        <v>25522.799999999999</v>
      </c>
      <c r="AI163">
        <v>6186.76</v>
      </c>
      <c r="AJ163">
        <v>15877</v>
      </c>
      <c r="AK163">
        <v>76422</v>
      </c>
      <c r="AL163">
        <v>111140.66</v>
      </c>
      <c r="AM163">
        <v>19703.3999999999</v>
      </c>
      <c r="AN163">
        <v>140968.53</v>
      </c>
      <c r="AO163">
        <v>1636377.37</v>
      </c>
      <c r="AP163">
        <v>228411.84</v>
      </c>
      <c r="AQ163">
        <v>49521</v>
      </c>
      <c r="AR163">
        <v>91524.91</v>
      </c>
      <c r="AS163">
        <v>-891583.62</v>
      </c>
      <c r="AT163">
        <v>31.751439999999999</v>
      </c>
      <c r="AU163">
        <v>30.830648239999999</v>
      </c>
      <c r="AV163">
        <v>13222494.2639299</v>
      </c>
      <c r="AW163">
        <v>21936450.949999999</v>
      </c>
      <c r="AX163">
        <v>1.6590251817950099</v>
      </c>
      <c r="AY163">
        <v>464832.40079999901</v>
      </c>
      <c r="AZ163">
        <v>1.0440862092743699</v>
      </c>
      <c r="BA163">
        <v>537929.87804878002</v>
      </c>
      <c r="BB163">
        <v>1.2082745657591001</v>
      </c>
      <c r="BC163">
        <v>23.075281032459898</v>
      </c>
    </row>
    <row r="164" spans="1:55" x14ac:dyDescent="0.2">
      <c r="A164" t="s">
        <v>375</v>
      </c>
      <c r="B164" t="s">
        <v>376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1</v>
      </c>
      <c r="L164">
        <v>0.7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0.7</v>
      </c>
      <c r="AQ164">
        <v>1</v>
      </c>
      <c r="AR164">
        <v>1</v>
      </c>
      <c r="AS164">
        <v>0</v>
      </c>
      <c r="AT164">
        <v>0.453592</v>
      </c>
      <c r="AU164">
        <v>0.44043783199999997</v>
      </c>
      <c r="AV164">
        <v>0</v>
      </c>
      <c r="AW164">
        <v>0</v>
      </c>
    </row>
    <row r="165" spans="1:55" x14ac:dyDescent="0.2">
      <c r="A165" t="s">
        <v>377</v>
      </c>
      <c r="B165" t="s">
        <v>378</v>
      </c>
      <c r="C165">
        <v>445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445</v>
      </c>
      <c r="J165">
        <v>11551.57</v>
      </c>
      <c r="K165">
        <v>151022.44</v>
      </c>
      <c r="L165">
        <v>105715.71</v>
      </c>
      <c r="M165">
        <v>25587.16</v>
      </c>
      <c r="N165">
        <v>86041.42</v>
      </c>
      <c r="O165">
        <v>210102.3</v>
      </c>
      <c r="P165">
        <v>25872000</v>
      </c>
      <c r="Q165">
        <v>64609.53</v>
      </c>
      <c r="R165">
        <v>16035.1</v>
      </c>
      <c r="S165">
        <v>119014.39</v>
      </c>
      <c r="T165">
        <v>844524.68</v>
      </c>
      <c r="U165">
        <v>72</v>
      </c>
      <c r="V165">
        <v>76348.350000000006</v>
      </c>
      <c r="W165">
        <v>36924.03</v>
      </c>
      <c r="X165">
        <v>106709.1</v>
      </c>
      <c r="Y165">
        <v>0</v>
      </c>
      <c r="Z165">
        <v>64609.53</v>
      </c>
      <c r="AA165">
        <v>16035.1</v>
      </c>
      <c r="AB165">
        <v>119014.39</v>
      </c>
      <c r="AC165">
        <v>844524.68</v>
      </c>
      <c r="AD165">
        <v>0.98</v>
      </c>
      <c r="AE165">
        <v>2.2000000000000002</v>
      </c>
      <c r="AF165">
        <v>1.72</v>
      </c>
      <c r="AG165">
        <v>2.2000000000000002</v>
      </c>
      <c r="AH165">
        <v>0</v>
      </c>
      <c r="AI165">
        <v>0</v>
      </c>
      <c r="AJ165">
        <v>0</v>
      </c>
      <c r="AK165">
        <v>0</v>
      </c>
      <c r="AL165">
        <v>140957.88</v>
      </c>
      <c r="AM165">
        <v>52959.13</v>
      </c>
      <c r="AN165">
        <v>225723.49</v>
      </c>
      <c r="AO165">
        <v>844524.68</v>
      </c>
      <c r="AP165">
        <v>29367.359999999899</v>
      </c>
      <c r="AQ165">
        <v>-11336.869999999901</v>
      </c>
      <c r="AR165">
        <v>-20667.679999999898</v>
      </c>
      <c r="AS165">
        <v>210102.299999999</v>
      </c>
      <c r="AT165">
        <v>32.658624000000003</v>
      </c>
      <c r="AU165">
        <v>31.711523904</v>
      </c>
      <c r="AV165">
        <v>5150744.2701072004</v>
      </c>
      <c r="AW165">
        <v>97936127.519999996</v>
      </c>
      <c r="AX165">
        <v>19.0139759196318</v>
      </c>
      <c r="AY165">
        <v>149246.2844</v>
      </c>
      <c r="AZ165">
        <v>0.98823912790708401</v>
      </c>
      <c r="BA165">
        <v>162425</v>
      </c>
      <c r="BB165">
        <v>1.07550242202417</v>
      </c>
      <c r="BC165">
        <v>25.9585842696629</v>
      </c>
    </row>
    <row r="166" spans="1:55" x14ac:dyDescent="0.2">
      <c r="A166" t="s">
        <v>379</v>
      </c>
      <c r="B166" t="s">
        <v>380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0.7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0.7</v>
      </c>
      <c r="AQ166">
        <v>1</v>
      </c>
      <c r="AR166">
        <v>1</v>
      </c>
      <c r="AS166">
        <v>0</v>
      </c>
      <c r="AT166">
        <v>0.453592</v>
      </c>
      <c r="AU166">
        <v>0.44043783199999997</v>
      </c>
      <c r="AV166">
        <v>0</v>
      </c>
      <c r="AW166">
        <v>0</v>
      </c>
    </row>
    <row r="167" spans="1:55" x14ac:dyDescent="0.2">
      <c r="A167" t="s">
        <v>381</v>
      </c>
      <c r="B167" t="s">
        <v>382</v>
      </c>
      <c r="C167">
        <v>1100</v>
      </c>
      <c r="D167">
        <v>250</v>
      </c>
      <c r="E167">
        <v>50</v>
      </c>
      <c r="F167">
        <v>0</v>
      </c>
      <c r="G167">
        <v>0</v>
      </c>
      <c r="H167">
        <v>0</v>
      </c>
      <c r="I167">
        <v>1400</v>
      </c>
      <c r="J167">
        <v>32413.91</v>
      </c>
      <c r="K167">
        <v>420436.84</v>
      </c>
      <c r="L167">
        <v>294305.78999999998</v>
      </c>
      <c r="M167">
        <v>69470.929999999993</v>
      </c>
      <c r="N167">
        <v>211237.3</v>
      </c>
      <c r="O167">
        <v>576999</v>
      </c>
      <c r="P167">
        <v>4200000</v>
      </c>
      <c r="Q167">
        <v>28354.639999999999</v>
      </c>
      <c r="R167">
        <v>508.21</v>
      </c>
      <c r="S167">
        <v>13528.91</v>
      </c>
      <c r="T167">
        <v>427597.8</v>
      </c>
      <c r="U167">
        <v>70</v>
      </c>
      <c r="V167">
        <v>136200.18</v>
      </c>
      <c r="W167">
        <v>64975.99</v>
      </c>
      <c r="X167">
        <v>223791.16</v>
      </c>
      <c r="Y167">
        <v>1616749.2</v>
      </c>
      <c r="Z167">
        <v>28354.639999999999</v>
      </c>
      <c r="AA167">
        <v>508.21</v>
      </c>
      <c r="AB167">
        <v>13528.91</v>
      </c>
      <c r="AC167">
        <v>427597.8</v>
      </c>
      <c r="AD167">
        <v>1.35</v>
      </c>
      <c r="AE167">
        <v>2.25</v>
      </c>
      <c r="AF167">
        <v>1.58</v>
      </c>
      <c r="AG167">
        <v>3.31</v>
      </c>
      <c r="AH167">
        <v>0</v>
      </c>
      <c r="AI167">
        <v>0</v>
      </c>
      <c r="AJ167">
        <v>0</v>
      </c>
      <c r="AK167">
        <v>0</v>
      </c>
      <c r="AL167">
        <v>164554.82</v>
      </c>
      <c r="AM167">
        <v>65484.2</v>
      </c>
      <c r="AN167">
        <v>237320.07</v>
      </c>
      <c r="AO167">
        <v>2044347</v>
      </c>
      <c r="AP167">
        <v>158105.60999999999</v>
      </c>
      <c r="AQ167">
        <v>4494.9399999999996</v>
      </c>
      <c r="AR167">
        <v>-12553.86</v>
      </c>
      <c r="AS167">
        <v>-1039750.2</v>
      </c>
      <c r="AT167">
        <v>31.751439999999999</v>
      </c>
      <c r="AU167">
        <v>30.830648239999999</v>
      </c>
      <c r="AV167">
        <v>15191801.920259999</v>
      </c>
      <c r="AW167">
        <v>15898722</v>
      </c>
      <c r="AX167">
        <v>1.0465329974318001</v>
      </c>
      <c r="AY167">
        <v>418787.71720000001</v>
      </c>
      <c r="AZ167">
        <v>0.99607759681573005</v>
      </c>
      <c r="BA167">
        <v>499426.829268292</v>
      </c>
      <c r="BB167">
        <v>1.18787599409293</v>
      </c>
      <c r="BC167">
        <v>23.689310338680901</v>
      </c>
    </row>
    <row r="168" spans="1:55" x14ac:dyDescent="0.2">
      <c r="A168" t="s">
        <v>383</v>
      </c>
      <c r="B168" t="s">
        <v>384</v>
      </c>
      <c r="C168">
        <v>665</v>
      </c>
      <c r="D168">
        <v>105</v>
      </c>
      <c r="E168">
        <v>240</v>
      </c>
      <c r="F168">
        <v>200</v>
      </c>
      <c r="G168">
        <v>95</v>
      </c>
      <c r="H168">
        <v>95</v>
      </c>
      <c r="I168">
        <v>1400</v>
      </c>
      <c r="J168">
        <v>23825.82</v>
      </c>
      <c r="K168">
        <v>296506.21999999997</v>
      </c>
      <c r="L168">
        <v>207554.35</v>
      </c>
      <c r="M168">
        <v>48547.57</v>
      </c>
      <c r="N168">
        <v>128578.75</v>
      </c>
      <c r="O168">
        <v>338184</v>
      </c>
      <c r="P168">
        <v>10266000</v>
      </c>
      <c r="Q168">
        <v>78310.44</v>
      </c>
      <c r="R168">
        <v>5184.5600000000004</v>
      </c>
      <c r="S168">
        <v>125845.94</v>
      </c>
      <c r="T168">
        <v>549869.93999999994</v>
      </c>
      <c r="U168">
        <v>72</v>
      </c>
      <c r="V168">
        <v>132292.25</v>
      </c>
      <c r="W168">
        <v>82977.5</v>
      </c>
      <c r="X168">
        <v>448709.59</v>
      </c>
      <c r="Y168">
        <v>11629457</v>
      </c>
      <c r="Z168">
        <v>78310.44</v>
      </c>
      <c r="AA168">
        <v>5184.5600000000004</v>
      </c>
      <c r="AB168">
        <v>125845.94</v>
      </c>
      <c r="AC168">
        <v>549869.93999999994</v>
      </c>
      <c r="AD168">
        <v>1.25</v>
      </c>
      <c r="AE168">
        <v>3.03</v>
      </c>
      <c r="AF168">
        <v>2.85</v>
      </c>
      <c r="AG168">
        <v>14.61</v>
      </c>
      <c r="AH168">
        <v>0</v>
      </c>
      <c r="AI168">
        <v>0</v>
      </c>
      <c r="AJ168">
        <v>0</v>
      </c>
      <c r="AK168">
        <v>0</v>
      </c>
      <c r="AL168">
        <v>210602.69</v>
      </c>
      <c r="AM168">
        <v>88162.06</v>
      </c>
      <c r="AN168">
        <v>574555.53</v>
      </c>
      <c r="AO168">
        <v>12179326.939999999</v>
      </c>
      <c r="AP168">
        <v>75262.100000000006</v>
      </c>
      <c r="AQ168">
        <v>-34429.93</v>
      </c>
      <c r="AR168">
        <v>-320130.84000000003</v>
      </c>
      <c r="AS168">
        <v>-11291273</v>
      </c>
      <c r="AT168">
        <v>32.658624000000003</v>
      </c>
      <c r="AU168">
        <v>31.711523904</v>
      </c>
      <c r="AV168">
        <v>8912523.7932191994</v>
      </c>
      <c r="AW168">
        <v>38861019.060000002</v>
      </c>
      <c r="AX168">
        <v>4.3602710030985898</v>
      </c>
      <c r="AY168">
        <v>307829.5944</v>
      </c>
      <c r="AZ168">
        <v>1.03818933174487</v>
      </c>
      <c r="BA168">
        <v>348263.41463414597</v>
      </c>
      <c r="BB168">
        <v>1.1745568596643401</v>
      </c>
      <c r="BC168">
        <v>23.814203315455799</v>
      </c>
    </row>
    <row r="169" spans="1:55" x14ac:dyDescent="0.2">
      <c r="A169" t="s">
        <v>385</v>
      </c>
      <c r="B169" t="s">
        <v>386</v>
      </c>
      <c r="C169">
        <v>85</v>
      </c>
      <c r="D169">
        <v>20</v>
      </c>
      <c r="E169">
        <v>20</v>
      </c>
      <c r="F169">
        <v>500</v>
      </c>
      <c r="G169">
        <v>20</v>
      </c>
      <c r="H169">
        <v>20</v>
      </c>
      <c r="I169">
        <v>665</v>
      </c>
      <c r="J169">
        <v>7658.9</v>
      </c>
      <c r="K169">
        <v>83124.28</v>
      </c>
      <c r="L169">
        <v>58187</v>
      </c>
      <c r="M169">
        <v>13721.23</v>
      </c>
      <c r="N169">
        <v>16042.89</v>
      </c>
      <c r="O169">
        <v>44743.5</v>
      </c>
      <c r="P169">
        <v>1200000</v>
      </c>
      <c r="Q169">
        <v>3065.89</v>
      </c>
      <c r="R169">
        <v>645.70000000000005</v>
      </c>
      <c r="S169">
        <v>7694.76</v>
      </c>
      <c r="T169">
        <v>40015.94</v>
      </c>
      <c r="U169">
        <v>65</v>
      </c>
      <c r="V169">
        <v>1899</v>
      </c>
      <c r="W169">
        <v>1809</v>
      </c>
      <c r="X169">
        <v>3591</v>
      </c>
      <c r="Y169">
        <v>0</v>
      </c>
      <c r="Z169">
        <v>3065.89</v>
      </c>
      <c r="AA169">
        <v>645.70000000000005</v>
      </c>
      <c r="AB169">
        <v>7694.76</v>
      </c>
      <c r="AC169">
        <v>40015.94</v>
      </c>
      <c r="AD169">
        <v>1.39</v>
      </c>
      <c r="AE169">
        <v>2.96</v>
      </c>
      <c r="AF169">
        <v>2.31</v>
      </c>
      <c r="AG169">
        <v>1.37</v>
      </c>
      <c r="AH169">
        <v>7176.7</v>
      </c>
      <c r="AI169">
        <v>4010.19</v>
      </c>
      <c r="AJ169">
        <v>12107.26</v>
      </c>
      <c r="AK169">
        <v>344043.52000000002</v>
      </c>
      <c r="AL169">
        <v>4964.8899999999903</v>
      </c>
      <c r="AM169">
        <v>2454.6999999999998</v>
      </c>
      <c r="AN169">
        <v>11285.76</v>
      </c>
      <c r="AO169">
        <v>40015.94</v>
      </c>
      <c r="AP169">
        <v>49111.3</v>
      </c>
      <c r="AQ169">
        <v>7902.03999999999</v>
      </c>
      <c r="AR169">
        <v>344.63000000000102</v>
      </c>
      <c r="AS169">
        <v>-299300.02</v>
      </c>
      <c r="AT169">
        <v>29.48348</v>
      </c>
      <c r="AU169">
        <v>28.628459079999999</v>
      </c>
      <c r="AV169">
        <v>1097185.6942409901</v>
      </c>
      <c r="AW169">
        <v>4542492</v>
      </c>
      <c r="AX169">
        <v>4.14013053929067</v>
      </c>
      <c r="AY169">
        <v>98952.987999999998</v>
      </c>
      <c r="AZ169">
        <v>1.19042219673962</v>
      </c>
      <c r="BA169">
        <v>109544.512195121</v>
      </c>
      <c r="BB169">
        <v>1.31784013281224</v>
      </c>
      <c r="BC169">
        <v>24.715852026761102</v>
      </c>
    </row>
    <row r="170" spans="1:55" x14ac:dyDescent="0.2">
      <c r="A170" t="s">
        <v>387</v>
      </c>
      <c r="B170" t="s">
        <v>388</v>
      </c>
      <c r="C170">
        <v>975</v>
      </c>
      <c r="D170">
        <v>150</v>
      </c>
      <c r="E170">
        <v>300</v>
      </c>
      <c r="F170">
        <v>500</v>
      </c>
      <c r="G170">
        <v>250</v>
      </c>
      <c r="H170">
        <v>200</v>
      </c>
      <c r="I170">
        <v>2375</v>
      </c>
      <c r="J170">
        <v>36245.870000000003</v>
      </c>
      <c r="K170">
        <v>462028.46</v>
      </c>
      <c r="L170">
        <v>323419.92</v>
      </c>
      <c r="M170">
        <v>75026.41</v>
      </c>
      <c r="N170">
        <v>190444.71</v>
      </c>
      <c r="O170">
        <v>494923.5</v>
      </c>
      <c r="P170">
        <v>41130000</v>
      </c>
      <c r="Q170">
        <v>184043.8</v>
      </c>
      <c r="R170">
        <v>13604.12</v>
      </c>
      <c r="S170">
        <v>241646.58</v>
      </c>
      <c r="T170">
        <v>2247066.5</v>
      </c>
      <c r="U170">
        <v>75</v>
      </c>
      <c r="V170">
        <v>28624.65</v>
      </c>
      <c r="W170">
        <v>5759.57</v>
      </c>
      <c r="X170">
        <v>13676.49</v>
      </c>
      <c r="Y170">
        <v>416380.4</v>
      </c>
      <c r="Z170">
        <v>184043.8</v>
      </c>
      <c r="AA170">
        <v>13604.12</v>
      </c>
      <c r="AB170">
        <v>241646.58</v>
      </c>
      <c r="AC170">
        <v>2247066.5</v>
      </c>
      <c r="AD170">
        <v>1.1399999999999999</v>
      </c>
      <c r="AE170">
        <v>0.43</v>
      </c>
      <c r="AF170">
        <v>0.93</v>
      </c>
      <c r="AG170">
        <v>3.01</v>
      </c>
      <c r="AH170">
        <v>20443.62</v>
      </c>
      <c r="AI170">
        <v>4045.59</v>
      </c>
      <c r="AJ170">
        <v>9229.82</v>
      </c>
      <c r="AK170">
        <v>287245.8</v>
      </c>
      <c r="AL170">
        <v>212668.44999999899</v>
      </c>
      <c r="AM170">
        <v>19363.689999999999</v>
      </c>
      <c r="AN170">
        <v>255323.06999999899</v>
      </c>
      <c r="AO170">
        <v>2663446.9</v>
      </c>
      <c r="AP170">
        <v>274351.65000000002</v>
      </c>
      <c r="AQ170">
        <v>65221.25</v>
      </c>
      <c r="AR170">
        <v>167538.4</v>
      </c>
      <c r="AS170">
        <v>-208702.69999999899</v>
      </c>
      <c r="AT170">
        <v>34.019399999999997</v>
      </c>
      <c r="AU170">
        <v>33.032837399999998</v>
      </c>
      <c r="AV170">
        <v>13564108.857375</v>
      </c>
      <c r="AW170">
        <v>155693913.30000001</v>
      </c>
      <c r="AX170">
        <v>11.478373915832</v>
      </c>
      <c r="AY170">
        <v>468296.64039999997</v>
      </c>
      <c r="AZ170">
        <v>1.0135666543138899</v>
      </c>
      <c r="BA170">
        <v>537484.75609756098</v>
      </c>
      <c r="BB170">
        <v>1.1633152557259301</v>
      </c>
      <c r="BC170">
        <v>22.9068311368015</v>
      </c>
    </row>
    <row r="171" spans="1:55" x14ac:dyDescent="0.2">
      <c r="A171" t="s">
        <v>389</v>
      </c>
      <c r="B171" t="s">
        <v>390</v>
      </c>
      <c r="C171">
        <v>0</v>
      </c>
      <c r="D171">
        <v>0</v>
      </c>
      <c r="E171">
        <v>350</v>
      </c>
      <c r="F171">
        <v>600</v>
      </c>
      <c r="G171">
        <v>0</v>
      </c>
      <c r="H171">
        <v>0</v>
      </c>
      <c r="I171">
        <v>950</v>
      </c>
      <c r="J171">
        <v>9463.99</v>
      </c>
      <c r="K171">
        <v>90402</v>
      </c>
      <c r="L171">
        <v>63281.4</v>
      </c>
      <c r="M171">
        <v>15298.8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3836.14</v>
      </c>
      <c r="W171">
        <v>1225.03</v>
      </c>
      <c r="X171">
        <v>7002.77</v>
      </c>
      <c r="Y171">
        <v>66227.7</v>
      </c>
      <c r="Z171">
        <v>0</v>
      </c>
      <c r="AA171">
        <v>0</v>
      </c>
      <c r="AB171">
        <v>0</v>
      </c>
      <c r="AC171">
        <v>0</v>
      </c>
      <c r="AD171">
        <v>1.36</v>
      </c>
      <c r="AE171">
        <v>1.39</v>
      </c>
      <c r="AF171">
        <v>0.83</v>
      </c>
      <c r="AG171">
        <v>2.79</v>
      </c>
      <c r="AH171">
        <v>0</v>
      </c>
      <c r="AI171">
        <v>0</v>
      </c>
      <c r="AJ171">
        <v>0</v>
      </c>
      <c r="AK171">
        <v>0</v>
      </c>
      <c r="AL171">
        <v>3836.14</v>
      </c>
      <c r="AM171">
        <v>1225.03</v>
      </c>
      <c r="AN171">
        <v>7002.77</v>
      </c>
      <c r="AO171">
        <v>66227.7</v>
      </c>
      <c r="AP171">
        <v>59445.26</v>
      </c>
      <c r="AQ171">
        <v>14073.7699999999</v>
      </c>
      <c r="AR171">
        <v>-7001.77</v>
      </c>
      <c r="AS171">
        <v>-66227.7</v>
      </c>
      <c r="AT171">
        <v>0.453592</v>
      </c>
      <c r="AU171">
        <v>0.44043783199999997</v>
      </c>
      <c r="AV171">
        <v>0</v>
      </c>
      <c r="AW171">
        <v>0</v>
      </c>
      <c r="AY171">
        <v>122274.75079999999</v>
      </c>
      <c r="AZ171">
        <v>1.352566876839</v>
      </c>
      <c r="BA171">
        <v>126859.756097561</v>
      </c>
      <c r="BB171">
        <v>1.40328483991019</v>
      </c>
      <c r="BC171">
        <v>27.229725614035001</v>
      </c>
    </row>
    <row r="172" spans="1:55" x14ac:dyDescent="0.2">
      <c r="A172" t="s">
        <v>391</v>
      </c>
      <c r="B172" t="s">
        <v>392</v>
      </c>
      <c r="C172">
        <v>600</v>
      </c>
      <c r="D172">
        <v>136</v>
      </c>
      <c r="E172">
        <v>140</v>
      </c>
      <c r="F172">
        <v>105</v>
      </c>
      <c r="G172">
        <v>0</v>
      </c>
      <c r="H172">
        <v>300</v>
      </c>
      <c r="I172">
        <v>1281</v>
      </c>
      <c r="J172">
        <v>21048.31</v>
      </c>
      <c r="K172">
        <v>265353.57</v>
      </c>
      <c r="L172">
        <v>185747.5</v>
      </c>
      <c r="M172">
        <v>42477.75</v>
      </c>
      <c r="N172">
        <v>115220.35</v>
      </c>
      <c r="O172">
        <v>314642.88</v>
      </c>
      <c r="P172">
        <v>7170000</v>
      </c>
      <c r="Q172">
        <v>31056.92</v>
      </c>
      <c r="R172">
        <v>2140.77</v>
      </c>
      <c r="S172">
        <v>30307.119999999999</v>
      </c>
      <c r="T172">
        <v>249308.54</v>
      </c>
      <c r="U172">
        <v>70</v>
      </c>
      <c r="V172">
        <v>112239.53</v>
      </c>
      <c r="W172">
        <v>24566.35</v>
      </c>
      <c r="X172">
        <v>62232.65</v>
      </c>
      <c r="Y172">
        <v>395584.8</v>
      </c>
      <c r="Z172">
        <v>31056.92</v>
      </c>
      <c r="AA172">
        <v>2140.77</v>
      </c>
      <c r="AB172">
        <v>30307.119999999999</v>
      </c>
      <c r="AC172">
        <v>249308.54</v>
      </c>
      <c r="AD172">
        <v>0.95</v>
      </c>
      <c r="AE172">
        <v>1.01</v>
      </c>
      <c r="AF172">
        <v>0.69</v>
      </c>
      <c r="AG172">
        <v>0.93</v>
      </c>
      <c r="AH172">
        <v>0</v>
      </c>
      <c r="AI172">
        <v>0</v>
      </c>
      <c r="AJ172">
        <v>0</v>
      </c>
      <c r="AK172">
        <v>0</v>
      </c>
      <c r="AL172">
        <v>143296.45000000001</v>
      </c>
      <c r="AM172">
        <v>26707.119999999999</v>
      </c>
      <c r="AN172">
        <v>92539.77</v>
      </c>
      <c r="AO172">
        <v>644893.34</v>
      </c>
      <c r="AP172">
        <v>73507.969999999899</v>
      </c>
      <c r="AQ172">
        <v>17911.3999999999</v>
      </c>
      <c r="AR172">
        <v>52987.7</v>
      </c>
      <c r="AS172">
        <v>-80941.919999999896</v>
      </c>
      <c r="AT172">
        <v>31.751439999999999</v>
      </c>
      <c r="AU172">
        <v>30.830648239999999</v>
      </c>
      <c r="AV172">
        <v>8282345.3431936</v>
      </c>
      <c r="AW172">
        <v>27141389.699999999</v>
      </c>
      <c r="AX172">
        <v>3.2770173876297801</v>
      </c>
      <c r="AY172">
        <v>271944.16519999999</v>
      </c>
      <c r="AZ172">
        <v>1.02483703234141</v>
      </c>
      <c r="BA172">
        <v>314710.12195121899</v>
      </c>
      <c r="BB172">
        <v>1.1860029693635501</v>
      </c>
      <c r="BC172">
        <v>22.502169695705401</v>
      </c>
    </row>
    <row r="173" spans="1:55" x14ac:dyDescent="0.2">
      <c r="A173" t="s">
        <v>393</v>
      </c>
      <c r="B173" t="s">
        <v>394</v>
      </c>
      <c r="C173">
        <v>300</v>
      </c>
      <c r="D173">
        <v>60</v>
      </c>
      <c r="E173">
        <v>65</v>
      </c>
      <c r="F173">
        <v>0</v>
      </c>
      <c r="G173">
        <v>0</v>
      </c>
      <c r="H173">
        <v>0</v>
      </c>
      <c r="I173">
        <v>425</v>
      </c>
      <c r="J173">
        <v>9001.42</v>
      </c>
      <c r="K173">
        <v>113900.69</v>
      </c>
      <c r="L173">
        <v>79730.48</v>
      </c>
      <c r="M173">
        <v>18812.259999999998</v>
      </c>
      <c r="N173">
        <v>55831.41</v>
      </c>
      <c r="O173">
        <v>155476.79999999999</v>
      </c>
      <c r="P173">
        <v>7250000</v>
      </c>
      <c r="Q173">
        <v>39733.949999999997</v>
      </c>
      <c r="R173">
        <v>1530.21</v>
      </c>
      <c r="S173">
        <v>67945.820000000007</v>
      </c>
      <c r="T173">
        <v>425414.75</v>
      </c>
      <c r="U173">
        <v>61</v>
      </c>
      <c r="V173">
        <v>12820.9</v>
      </c>
      <c r="W173">
        <v>3458.03</v>
      </c>
      <c r="X173">
        <v>13904.35</v>
      </c>
      <c r="Y173">
        <v>638336.16</v>
      </c>
      <c r="Z173">
        <v>39733.949999999997</v>
      </c>
      <c r="AA173">
        <v>1530.21</v>
      </c>
      <c r="AB173">
        <v>67945.820000000007</v>
      </c>
      <c r="AC173">
        <v>425414.75</v>
      </c>
      <c r="AD173">
        <v>0.85</v>
      </c>
      <c r="AE173">
        <v>0.37</v>
      </c>
      <c r="AF173">
        <v>0.76</v>
      </c>
      <c r="AG173">
        <v>4.4800000000000004</v>
      </c>
      <c r="AH173">
        <v>21517.5</v>
      </c>
      <c r="AI173">
        <v>13917.5</v>
      </c>
      <c r="AJ173">
        <v>3415.25</v>
      </c>
      <c r="AK173">
        <v>204250</v>
      </c>
      <c r="AL173">
        <v>52554.85</v>
      </c>
      <c r="AM173">
        <v>4988.24</v>
      </c>
      <c r="AN173">
        <v>81850.17</v>
      </c>
      <c r="AO173">
        <v>1063750.9099999999</v>
      </c>
      <c r="AP173">
        <v>45392.0799999999</v>
      </c>
      <c r="AQ173">
        <v>1436.72999999999</v>
      </c>
      <c r="AR173">
        <v>38511.81</v>
      </c>
      <c r="AS173">
        <v>-687109.36</v>
      </c>
      <c r="AT173">
        <v>27.669111999999998</v>
      </c>
      <c r="AU173">
        <v>26.8667077519999</v>
      </c>
      <c r="AV173">
        <v>3530285.3986127898</v>
      </c>
      <c r="AW173">
        <v>27444222.5</v>
      </c>
      <c r="AX173">
        <v>7.7739387616604603</v>
      </c>
      <c r="AY173">
        <v>116298.34639999999</v>
      </c>
      <c r="AZ173">
        <v>1.02105041154711</v>
      </c>
      <c r="BA173">
        <v>140079.87804878</v>
      </c>
      <c r="BB173">
        <v>1.2298422252646599</v>
      </c>
      <c r="BC173">
        <v>23.454605656180401</v>
      </c>
    </row>
    <row r="174" spans="1:55" x14ac:dyDescent="0.2">
      <c r="A174" t="s">
        <v>395</v>
      </c>
      <c r="B174" t="s">
        <v>396</v>
      </c>
      <c r="C174">
        <v>1965</v>
      </c>
      <c r="D174">
        <v>235</v>
      </c>
      <c r="E174">
        <v>635</v>
      </c>
      <c r="F174">
        <v>450</v>
      </c>
      <c r="G174">
        <v>0</v>
      </c>
      <c r="H174">
        <v>0</v>
      </c>
      <c r="I174">
        <v>3285</v>
      </c>
      <c r="J174">
        <v>66910.66</v>
      </c>
      <c r="K174">
        <v>837315.78</v>
      </c>
      <c r="L174">
        <v>586121.05000000005</v>
      </c>
      <c r="M174">
        <v>140582.95000000001</v>
      </c>
      <c r="N174">
        <v>390292.05</v>
      </c>
      <c r="O174">
        <v>981941.4</v>
      </c>
      <c r="P174">
        <v>58350000</v>
      </c>
      <c r="Q174">
        <v>207988.46</v>
      </c>
      <c r="R174">
        <v>21448.04</v>
      </c>
      <c r="S174">
        <v>256332.61</v>
      </c>
      <c r="T174">
        <v>1644117.3</v>
      </c>
      <c r="U174">
        <v>80</v>
      </c>
      <c r="V174">
        <v>69685.39</v>
      </c>
      <c r="W174">
        <v>30425.53</v>
      </c>
      <c r="X174">
        <v>59349.83</v>
      </c>
      <c r="Y174">
        <v>3080606.3</v>
      </c>
      <c r="Z174">
        <v>207988.46</v>
      </c>
      <c r="AA174">
        <v>21448.04</v>
      </c>
      <c r="AB174">
        <v>256332.61</v>
      </c>
      <c r="AC174">
        <v>1644117.3</v>
      </c>
      <c r="AD174">
        <v>1.1399999999999999</v>
      </c>
      <c r="AE174">
        <v>1.1599999999999999</v>
      </c>
      <c r="AF174">
        <v>1.1100000000000001</v>
      </c>
      <c r="AG174">
        <v>4.1500000000000004</v>
      </c>
      <c r="AH174">
        <v>79358.83</v>
      </c>
      <c r="AI174">
        <v>24563.45</v>
      </c>
      <c r="AJ174">
        <v>99198.54</v>
      </c>
      <c r="AK174">
        <v>2843691.48</v>
      </c>
      <c r="AL174">
        <v>277673.84999999998</v>
      </c>
      <c r="AM174">
        <v>51873.57</v>
      </c>
      <c r="AN174">
        <v>315682.44</v>
      </c>
      <c r="AO174">
        <v>4724723.5999999996</v>
      </c>
      <c r="AP174">
        <v>437076.83</v>
      </c>
      <c r="AQ174">
        <v>85593.97</v>
      </c>
      <c r="AR174">
        <v>231743.679999999</v>
      </c>
      <c r="AS174">
        <v>-4942356.3799999896</v>
      </c>
      <c r="AT174">
        <v>36.28736</v>
      </c>
      <c r="AU174">
        <v>35.235026560000001</v>
      </c>
      <c r="AV174">
        <v>28293726.327679999</v>
      </c>
      <c r="AW174">
        <v>220878673.5</v>
      </c>
      <c r="AX174">
        <v>7.8066307329732103</v>
      </c>
      <c r="AY174">
        <v>864485.72719999996</v>
      </c>
      <c r="AZ174">
        <v>1.0324488655880799</v>
      </c>
      <c r="BA174">
        <v>947887.19512195105</v>
      </c>
      <c r="BB174">
        <v>1.13205461758042</v>
      </c>
      <c r="BC174">
        <v>25.7650815684432</v>
      </c>
    </row>
    <row r="175" spans="1:55" x14ac:dyDescent="0.2">
      <c r="A175" t="s">
        <v>397</v>
      </c>
      <c r="B175" t="s">
        <v>398</v>
      </c>
      <c r="C175">
        <v>200</v>
      </c>
      <c r="D175">
        <v>0</v>
      </c>
      <c r="E175">
        <v>0</v>
      </c>
      <c r="F175">
        <v>160</v>
      </c>
      <c r="G175">
        <v>50</v>
      </c>
      <c r="H175">
        <v>0</v>
      </c>
      <c r="I175">
        <v>410</v>
      </c>
      <c r="J175">
        <v>6413.67</v>
      </c>
      <c r="K175">
        <v>79200.47</v>
      </c>
      <c r="L175">
        <v>55440.33</v>
      </c>
      <c r="M175">
        <v>13069.4</v>
      </c>
      <c r="N175">
        <v>35903.339999999997</v>
      </c>
      <c r="O175">
        <v>94428</v>
      </c>
      <c r="P175">
        <v>7089000</v>
      </c>
      <c r="Q175">
        <v>15654.24</v>
      </c>
      <c r="R175">
        <v>3127.53</v>
      </c>
      <c r="S175">
        <v>37440.870000000003</v>
      </c>
      <c r="T175">
        <v>268754.73</v>
      </c>
      <c r="U175">
        <v>51</v>
      </c>
      <c r="V175">
        <v>29573.279999999999</v>
      </c>
      <c r="W175">
        <v>14498.26</v>
      </c>
      <c r="X175">
        <v>31975.13</v>
      </c>
      <c r="Y175">
        <v>254975.6</v>
      </c>
      <c r="Z175">
        <v>15654.24</v>
      </c>
      <c r="AA175">
        <v>3127.53</v>
      </c>
      <c r="AB175">
        <v>37440.870000000003</v>
      </c>
      <c r="AC175">
        <v>268754.73</v>
      </c>
      <c r="AD175">
        <v>0.97</v>
      </c>
      <c r="AE175">
        <v>1.69</v>
      </c>
      <c r="AF175">
        <v>1.34</v>
      </c>
      <c r="AG175">
        <v>2.46</v>
      </c>
      <c r="AH175">
        <v>0</v>
      </c>
      <c r="AI175">
        <v>0</v>
      </c>
      <c r="AJ175">
        <v>0</v>
      </c>
      <c r="AK175">
        <v>0</v>
      </c>
      <c r="AL175">
        <v>45227.519999999997</v>
      </c>
      <c r="AM175">
        <v>17625.79</v>
      </c>
      <c r="AN175">
        <v>69416</v>
      </c>
      <c r="AO175">
        <v>523730.32999999903</v>
      </c>
      <c r="AP175">
        <v>25867.05</v>
      </c>
      <c r="AQ175">
        <v>-1428.86</v>
      </c>
      <c r="AR175">
        <v>3928.20999999999</v>
      </c>
      <c r="AS175">
        <v>-160547.59999999899</v>
      </c>
      <c r="AT175">
        <v>23.133192000000001</v>
      </c>
      <c r="AU175">
        <v>22.462329432000001</v>
      </c>
      <c r="AV175">
        <v>1639750.0485360001</v>
      </c>
      <c r="AW175">
        <v>26834771.489999998</v>
      </c>
      <c r="AX175">
        <v>16.365159747339899</v>
      </c>
      <c r="AY175">
        <v>82864.616399999999</v>
      </c>
      <c r="AZ175">
        <v>1.0462642001998199</v>
      </c>
      <c r="BA175">
        <v>96591.463414634098</v>
      </c>
      <c r="BB175">
        <v>1.2195819471100799</v>
      </c>
      <c r="BC175">
        <v>23.168323348017601</v>
      </c>
    </row>
    <row r="176" spans="1:55" x14ac:dyDescent="0.2">
      <c r="A176" t="s">
        <v>399</v>
      </c>
      <c r="B176" t="s">
        <v>400</v>
      </c>
      <c r="C176">
        <v>2200</v>
      </c>
      <c r="D176">
        <v>300</v>
      </c>
      <c r="E176">
        <v>650</v>
      </c>
      <c r="F176">
        <v>650</v>
      </c>
      <c r="G176">
        <v>250</v>
      </c>
      <c r="H176">
        <v>0</v>
      </c>
      <c r="I176">
        <v>4050</v>
      </c>
      <c r="J176">
        <v>78683.399999999994</v>
      </c>
      <c r="K176">
        <v>985436.66</v>
      </c>
      <c r="L176">
        <v>689805.66</v>
      </c>
      <c r="M176">
        <v>164300.01999999999</v>
      </c>
      <c r="N176">
        <v>445664.36</v>
      </c>
      <c r="O176">
        <v>1107882</v>
      </c>
      <c r="P176">
        <v>71526000</v>
      </c>
      <c r="Q176">
        <v>94159.34</v>
      </c>
      <c r="R176">
        <v>15632.38</v>
      </c>
      <c r="S176">
        <v>102016.47</v>
      </c>
      <c r="T176">
        <v>836744.81</v>
      </c>
      <c r="U176">
        <v>86</v>
      </c>
      <c r="V176">
        <v>120364.72</v>
      </c>
      <c r="W176">
        <v>18281.810000000001</v>
      </c>
      <c r="X176">
        <v>119229.2</v>
      </c>
      <c r="Y176">
        <v>1873601.73</v>
      </c>
      <c r="Z176">
        <v>94159.34</v>
      </c>
      <c r="AA176">
        <v>15632.38</v>
      </c>
      <c r="AB176">
        <v>102016.47</v>
      </c>
      <c r="AC176">
        <v>836744.81</v>
      </c>
      <c r="AD176">
        <v>1.05</v>
      </c>
      <c r="AE176">
        <v>0.44</v>
      </c>
      <c r="AF176">
        <v>0.43</v>
      </c>
      <c r="AG176">
        <v>1.53</v>
      </c>
      <c r="AH176">
        <v>209124</v>
      </c>
      <c r="AI176">
        <v>38694.6</v>
      </c>
      <c r="AJ176">
        <v>123210</v>
      </c>
      <c r="AK176">
        <v>1292040</v>
      </c>
      <c r="AL176">
        <v>214524.06</v>
      </c>
      <c r="AM176">
        <v>33914.19</v>
      </c>
      <c r="AN176">
        <v>221245.66999999899</v>
      </c>
      <c r="AO176">
        <v>2710346.54</v>
      </c>
      <c r="AP176">
        <v>360316.93999999901</v>
      </c>
      <c r="AQ176">
        <v>107323.609999999</v>
      </c>
      <c r="AR176">
        <v>203225.15999999901</v>
      </c>
      <c r="AS176">
        <v>-2057759.73</v>
      </c>
      <c r="AT176">
        <v>39.008912000000002</v>
      </c>
      <c r="AU176">
        <v>37.877653551999998</v>
      </c>
      <c r="AV176">
        <v>34563358.8662</v>
      </c>
      <c r="AW176">
        <v>270755235.66000003</v>
      </c>
      <c r="AX176">
        <v>7.8335915414972996</v>
      </c>
      <c r="AY176">
        <v>1016589.52799999</v>
      </c>
      <c r="AZ176">
        <v>1.0316132626931001</v>
      </c>
      <c r="BA176">
        <v>1097225.60975609</v>
      </c>
      <c r="BB176">
        <v>1.11344103004661</v>
      </c>
      <c r="BC176">
        <v>25.6542298210735</v>
      </c>
    </row>
    <row r="177" spans="1:55" x14ac:dyDescent="0.2">
      <c r="A177" t="s">
        <v>401</v>
      </c>
      <c r="B177" t="s">
        <v>402</v>
      </c>
      <c r="C177">
        <v>0</v>
      </c>
      <c r="D177">
        <v>0</v>
      </c>
      <c r="E177">
        <v>250</v>
      </c>
      <c r="F177">
        <v>500</v>
      </c>
      <c r="G177">
        <v>250</v>
      </c>
      <c r="H177">
        <v>0</v>
      </c>
      <c r="I177">
        <v>1000</v>
      </c>
      <c r="J177">
        <v>8236.7999999999993</v>
      </c>
      <c r="K177">
        <v>84180</v>
      </c>
      <c r="L177">
        <v>58926</v>
      </c>
      <c r="M177">
        <v>12983.85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8438.98</v>
      </c>
      <c r="W177">
        <v>2320.7199999999998</v>
      </c>
      <c r="X177">
        <v>5812.56</v>
      </c>
      <c r="Y177">
        <v>210113.28</v>
      </c>
      <c r="Z177">
        <v>0</v>
      </c>
      <c r="AA177">
        <v>0</v>
      </c>
      <c r="AB177">
        <v>0</v>
      </c>
      <c r="AC177">
        <v>0</v>
      </c>
      <c r="AD177">
        <v>0.99</v>
      </c>
      <c r="AE177">
        <v>2</v>
      </c>
      <c r="AF177">
        <v>0.2</v>
      </c>
      <c r="AG177">
        <v>0.89</v>
      </c>
      <c r="AH177">
        <v>22357.1</v>
      </c>
      <c r="AI177">
        <v>3402.17</v>
      </c>
      <c r="AJ177">
        <v>19076.439999999999</v>
      </c>
      <c r="AK177">
        <v>368163.18</v>
      </c>
      <c r="AL177">
        <v>8438.98</v>
      </c>
      <c r="AM177">
        <v>2320.7199999999998</v>
      </c>
      <c r="AN177">
        <v>5812.56</v>
      </c>
      <c r="AO177">
        <v>210113.28</v>
      </c>
      <c r="AP177">
        <v>28129.919999999998</v>
      </c>
      <c r="AQ177">
        <v>7260.96</v>
      </c>
      <c r="AR177">
        <v>-24888</v>
      </c>
      <c r="AS177">
        <v>-578276.46</v>
      </c>
      <c r="AT177">
        <v>0.453592</v>
      </c>
      <c r="AU177">
        <v>0.44043783199999997</v>
      </c>
      <c r="AV177">
        <v>0</v>
      </c>
      <c r="AW177">
        <v>0</v>
      </c>
      <c r="AY177">
        <v>106419.455999999</v>
      </c>
      <c r="AZ177">
        <v>1.2641893086243701</v>
      </c>
      <c r="BA177">
        <v>111280.48780487799</v>
      </c>
      <c r="BB177">
        <v>1.3219349941182901</v>
      </c>
      <c r="BC177">
        <v>22.513919999999899</v>
      </c>
    </row>
    <row r="178" spans="1:55" x14ac:dyDescent="0.2">
      <c r="A178" t="s">
        <v>403</v>
      </c>
      <c r="B178" t="s">
        <v>404</v>
      </c>
      <c r="C178">
        <v>850</v>
      </c>
      <c r="D178">
        <v>150</v>
      </c>
      <c r="E178">
        <v>345</v>
      </c>
      <c r="F178">
        <v>305</v>
      </c>
      <c r="G178">
        <v>175</v>
      </c>
      <c r="H178">
        <v>175</v>
      </c>
      <c r="I178">
        <v>2000</v>
      </c>
      <c r="J178">
        <v>32695.84</v>
      </c>
      <c r="K178">
        <v>404862.89</v>
      </c>
      <c r="L178">
        <v>283404.02</v>
      </c>
      <c r="M178">
        <v>65916.89</v>
      </c>
      <c r="N178">
        <v>168268.64</v>
      </c>
      <c r="O178">
        <v>435906</v>
      </c>
      <c r="P178">
        <v>31792500</v>
      </c>
      <c r="Q178">
        <v>165726.51</v>
      </c>
      <c r="R178">
        <v>12344.33</v>
      </c>
      <c r="S178">
        <v>139351.13</v>
      </c>
      <c r="T178">
        <v>1379862.86</v>
      </c>
      <c r="U178">
        <v>79</v>
      </c>
      <c r="V178">
        <v>106768.77</v>
      </c>
      <c r="W178">
        <v>26110.12</v>
      </c>
      <c r="X178">
        <v>101938.33</v>
      </c>
      <c r="Y178">
        <v>1692827.48</v>
      </c>
      <c r="Z178">
        <v>165726.51</v>
      </c>
      <c r="AA178">
        <v>12344.33</v>
      </c>
      <c r="AB178">
        <v>139351.13</v>
      </c>
      <c r="AC178">
        <v>1379862.86</v>
      </c>
      <c r="AD178">
        <v>0.74</v>
      </c>
      <c r="AE178">
        <v>0.7</v>
      </c>
      <c r="AF178">
        <v>0.63</v>
      </c>
      <c r="AG178">
        <v>2.91</v>
      </c>
      <c r="AH178">
        <v>0</v>
      </c>
      <c r="AI178">
        <v>0</v>
      </c>
      <c r="AJ178">
        <v>0</v>
      </c>
      <c r="AK178">
        <v>0</v>
      </c>
      <c r="AL178">
        <v>272495.28000000003</v>
      </c>
      <c r="AM178">
        <v>38454.449999999997</v>
      </c>
      <c r="AN178">
        <v>241289.46</v>
      </c>
      <c r="AO178">
        <v>3072690.34</v>
      </c>
      <c r="AP178">
        <v>176635.25</v>
      </c>
      <c r="AQ178">
        <v>39806.769999999997</v>
      </c>
      <c r="AR178">
        <v>66330.31</v>
      </c>
      <c r="AS178">
        <v>-1256921.47999999</v>
      </c>
      <c r="AT178">
        <v>35.833767999999999</v>
      </c>
      <c r="AU178">
        <v>34.794588728000001</v>
      </c>
      <c r="AV178">
        <v>12700024.88572</v>
      </c>
      <c r="AW178">
        <v>120347647.425</v>
      </c>
      <c r="AX178">
        <v>9.4761741420144592</v>
      </c>
      <c r="AY178">
        <v>422430.25280000002</v>
      </c>
      <c r="AZ178">
        <v>1.04339089413702</v>
      </c>
      <c r="BA178">
        <v>467378.04878048698</v>
      </c>
      <c r="BB178">
        <v>1.1544106914330601</v>
      </c>
      <c r="BC178">
        <v>23.9380257142857</v>
      </c>
    </row>
    <row r="179" spans="1:55" x14ac:dyDescent="0.2">
      <c r="A179" t="s">
        <v>405</v>
      </c>
      <c r="B179" t="s">
        <v>406</v>
      </c>
      <c r="C179">
        <v>675</v>
      </c>
      <c r="D179">
        <v>130</v>
      </c>
      <c r="E179">
        <v>295</v>
      </c>
      <c r="F179">
        <v>165</v>
      </c>
      <c r="G179">
        <v>95</v>
      </c>
      <c r="H179">
        <v>120</v>
      </c>
      <c r="I179">
        <v>1480</v>
      </c>
      <c r="J179">
        <v>25183.94</v>
      </c>
      <c r="K179">
        <v>312852.18</v>
      </c>
      <c r="L179">
        <v>218996.53</v>
      </c>
      <c r="M179">
        <v>51093.98</v>
      </c>
      <c r="N179">
        <v>132735.72</v>
      </c>
      <c r="O179">
        <v>348669.9</v>
      </c>
      <c r="P179">
        <v>45360000</v>
      </c>
      <c r="Q179">
        <v>130194.52</v>
      </c>
      <c r="R179">
        <v>14729.14</v>
      </c>
      <c r="S179">
        <v>167044.41</v>
      </c>
      <c r="T179">
        <v>1752334.84</v>
      </c>
      <c r="U179">
        <v>77</v>
      </c>
      <c r="V179">
        <v>61863.87</v>
      </c>
      <c r="W179">
        <v>20028.759999999998</v>
      </c>
      <c r="X179">
        <v>53105.86</v>
      </c>
      <c r="Y179">
        <v>1624278.7</v>
      </c>
      <c r="Z179">
        <v>104659.57</v>
      </c>
      <c r="AA179">
        <v>11887.77</v>
      </c>
      <c r="AB179">
        <v>134820.60999999999</v>
      </c>
      <c r="AC179">
        <v>1397779.16</v>
      </c>
      <c r="AD179">
        <v>1.06</v>
      </c>
      <c r="AE179">
        <v>1.1000000000000001</v>
      </c>
      <c r="AF179">
        <v>0.88</v>
      </c>
      <c r="AG179">
        <v>2.68</v>
      </c>
      <c r="AH179">
        <v>25534.95</v>
      </c>
      <c r="AI179">
        <v>2841.37</v>
      </c>
      <c r="AJ179">
        <v>32223.8</v>
      </c>
      <c r="AK179">
        <v>354555.68</v>
      </c>
      <c r="AL179">
        <v>166523.44</v>
      </c>
      <c r="AM179">
        <v>31916.53</v>
      </c>
      <c r="AN179">
        <v>187926.46999999901</v>
      </c>
      <c r="AO179">
        <v>3022057.86</v>
      </c>
      <c r="AP179">
        <v>157132.65999999901</v>
      </c>
      <c r="AQ179">
        <v>31065.219999999899</v>
      </c>
      <c r="AR179">
        <v>79629.86</v>
      </c>
      <c r="AS179">
        <v>-1275608.79999999</v>
      </c>
      <c r="AT179">
        <v>34.926583999999998</v>
      </c>
      <c r="AU179">
        <v>33.913713064</v>
      </c>
      <c r="AV179">
        <v>9964696.7410298008</v>
      </c>
      <c r="AW179">
        <v>171706197.59999999</v>
      </c>
      <c r="AX179">
        <v>17.231452402660299</v>
      </c>
      <c r="AY179">
        <v>325376.5048</v>
      </c>
      <c r="AZ179">
        <v>1.0400327234414599</v>
      </c>
      <c r="BA179">
        <v>364821.95121951198</v>
      </c>
      <c r="BB179">
        <v>1.1661160590906201</v>
      </c>
      <c r="BC179">
        <v>23.940216554602301</v>
      </c>
    </row>
    <row r="180" spans="1:55" x14ac:dyDescent="0.2">
      <c r="A180" t="s">
        <v>407</v>
      </c>
      <c r="B180" t="s">
        <v>408</v>
      </c>
      <c r="C180">
        <v>150</v>
      </c>
      <c r="D180">
        <v>16</v>
      </c>
      <c r="E180">
        <v>40</v>
      </c>
      <c r="F180">
        <v>40</v>
      </c>
      <c r="G180">
        <v>30</v>
      </c>
      <c r="H180">
        <v>20</v>
      </c>
      <c r="I180">
        <v>296</v>
      </c>
      <c r="J180">
        <v>5058.99</v>
      </c>
      <c r="K180">
        <v>63547.64</v>
      </c>
      <c r="L180">
        <v>44483.35</v>
      </c>
      <c r="M180">
        <v>10395.99</v>
      </c>
      <c r="N180">
        <v>28805.09</v>
      </c>
      <c r="O180">
        <v>74510.28</v>
      </c>
      <c r="P180">
        <v>3195000</v>
      </c>
      <c r="Q180">
        <v>12267.65</v>
      </c>
      <c r="R180">
        <v>1434.28</v>
      </c>
      <c r="S180">
        <v>15178.34</v>
      </c>
      <c r="T180">
        <v>123047.03</v>
      </c>
      <c r="U180">
        <v>70</v>
      </c>
      <c r="V180">
        <v>23857.39</v>
      </c>
      <c r="W180">
        <v>12976.14</v>
      </c>
      <c r="X180">
        <v>49475.44</v>
      </c>
      <c r="Y180">
        <v>192936.95999999999</v>
      </c>
      <c r="Z180">
        <v>12267.65</v>
      </c>
      <c r="AA180">
        <v>1434.28</v>
      </c>
      <c r="AB180">
        <v>15178.34</v>
      </c>
      <c r="AC180">
        <v>123047.03</v>
      </c>
      <c r="AD180">
        <v>0.85</v>
      </c>
      <c r="AE180">
        <v>2.23</v>
      </c>
      <c r="AF180">
        <v>1.42</v>
      </c>
      <c r="AG180">
        <v>1.57</v>
      </c>
      <c r="AH180">
        <v>0</v>
      </c>
      <c r="AI180">
        <v>0</v>
      </c>
      <c r="AJ180">
        <v>0</v>
      </c>
      <c r="AK180">
        <v>0</v>
      </c>
      <c r="AL180">
        <v>36125.040000000001</v>
      </c>
      <c r="AM180">
        <v>14410.42</v>
      </c>
      <c r="AN180">
        <v>64653.78</v>
      </c>
      <c r="AO180">
        <v>315983.99</v>
      </c>
      <c r="AP180">
        <v>20625.96</v>
      </c>
      <c r="AQ180">
        <v>-2580.1499999999901</v>
      </c>
      <c r="AR180">
        <v>-20670.349999999999</v>
      </c>
      <c r="AS180">
        <v>-118426.68</v>
      </c>
      <c r="AT180">
        <v>31.751439999999999</v>
      </c>
      <c r="AU180">
        <v>30.830648239999999</v>
      </c>
      <c r="AV180">
        <v>1868028.9768616001</v>
      </c>
      <c r="AW180">
        <v>12094384.949999999</v>
      </c>
      <c r="AX180">
        <v>6.4744097119517301</v>
      </c>
      <c r="AY180">
        <v>65362.150799999901</v>
      </c>
      <c r="AZ180">
        <v>1.02855355131992</v>
      </c>
      <c r="BA180">
        <v>73498.5365853658</v>
      </c>
      <c r="BB180">
        <v>1.15658955368548</v>
      </c>
      <c r="BC180">
        <v>23.688738008222899</v>
      </c>
    </row>
    <row r="181" spans="1:55" x14ac:dyDescent="0.2">
      <c r="A181" t="s">
        <v>409</v>
      </c>
      <c r="B181" t="s">
        <v>410</v>
      </c>
      <c r="C181">
        <v>140</v>
      </c>
      <c r="D181">
        <v>18</v>
      </c>
      <c r="E181">
        <v>725</v>
      </c>
      <c r="F181">
        <v>45</v>
      </c>
      <c r="G181">
        <v>33</v>
      </c>
      <c r="H181">
        <v>33</v>
      </c>
      <c r="I181">
        <v>994</v>
      </c>
      <c r="J181">
        <v>12283.86</v>
      </c>
      <c r="K181">
        <v>132200.79999999999</v>
      </c>
      <c r="L181">
        <v>92540.56</v>
      </c>
      <c r="M181">
        <v>21995.31</v>
      </c>
      <c r="N181">
        <v>29098.32</v>
      </c>
      <c r="O181">
        <v>70250.039999999994</v>
      </c>
      <c r="P181">
        <v>8990000</v>
      </c>
      <c r="Q181">
        <v>42987.35</v>
      </c>
      <c r="R181">
        <v>5874.19</v>
      </c>
      <c r="S181">
        <v>57766.59</v>
      </c>
      <c r="T181">
        <v>311339.43</v>
      </c>
      <c r="U181">
        <v>94</v>
      </c>
      <c r="V181">
        <v>0</v>
      </c>
      <c r="W181">
        <v>0</v>
      </c>
      <c r="X181">
        <v>0</v>
      </c>
      <c r="Y181">
        <v>0</v>
      </c>
      <c r="Z181">
        <v>42987.35</v>
      </c>
      <c r="AA181">
        <v>5874.19</v>
      </c>
      <c r="AB181">
        <v>57766.59</v>
      </c>
      <c r="AC181">
        <v>311339.43</v>
      </c>
      <c r="AD181">
        <v>1.2</v>
      </c>
      <c r="AE181">
        <v>0.65</v>
      </c>
      <c r="AF181">
        <v>1.3</v>
      </c>
      <c r="AG181">
        <v>2.04</v>
      </c>
      <c r="AH181">
        <v>0</v>
      </c>
      <c r="AI181">
        <v>0</v>
      </c>
      <c r="AJ181">
        <v>0</v>
      </c>
      <c r="AK181">
        <v>0</v>
      </c>
      <c r="AL181">
        <v>42987.35</v>
      </c>
      <c r="AM181">
        <v>5874.19</v>
      </c>
      <c r="AN181">
        <v>57766.59</v>
      </c>
      <c r="AO181">
        <v>311339.43</v>
      </c>
      <c r="AP181">
        <v>92540.56</v>
      </c>
      <c r="AQ181">
        <v>21995.31</v>
      </c>
      <c r="AR181">
        <v>29098.32</v>
      </c>
      <c r="AS181">
        <v>70250.039999999906</v>
      </c>
      <c r="AT181">
        <v>42.637647999999999</v>
      </c>
      <c r="AU181">
        <v>41.401156207999897</v>
      </c>
      <c r="AV181">
        <v>2387604.67851535</v>
      </c>
      <c r="AW181">
        <v>34030835.899999999</v>
      </c>
      <c r="AX181">
        <v>14.2531283366226</v>
      </c>
      <c r="AY181">
        <v>158707.4712</v>
      </c>
      <c r="AZ181">
        <v>1.2005031073942001</v>
      </c>
      <c r="BA181">
        <v>163430.97560975599</v>
      </c>
      <c r="BB181">
        <v>1.2362328791486501</v>
      </c>
      <c r="BC181">
        <v>26.482188453044401</v>
      </c>
    </row>
    <row r="182" spans="1:55" x14ac:dyDescent="0.2">
      <c r="A182" t="s">
        <v>411</v>
      </c>
      <c r="B182" t="s">
        <v>412</v>
      </c>
      <c r="C182">
        <v>3100</v>
      </c>
      <c r="D182">
        <v>395</v>
      </c>
      <c r="E182">
        <v>860</v>
      </c>
      <c r="F182">
        <v>1255</v>
      </c>
      <c r="G182">
        <v>360</v>
      </c>
      <c r="H182">
        <v>0</v>
      </c>
      <c r="I182">
        <v>5970</v>
      </c>
      <c r="J182">
        <v>107869.13</v>
      </c>
      <c r="K182">
        <v>1339291.3999999999</v>
      </c>
      <c r="L182">
        <v>937503.98</v>
      </c>
      <c r="M182">
        <v>222276.56</v>
      </c>
      <c r="N182">
        <v>597347.4</v>
      </c>
      <c r="O182">
        <v>1554713.1</v>
      </c>
      <c r="P182">
        <v>60500000</v>
      </c>
      <c r="Q182">
        <v>267419.39</v>
      </c>
      <c r="R182">
        <v>46286.84</v>
      </c>
      <c r="S182">
        <v>375239.89</v>
      </c>
      <c r="T182">
        <v>2409372.5699999998</v>
      </c>
      <c r="U182">
        <v>71</v>
      </c>
      <c r="V182">
        <v>279959.28999999998</v>
      </c>
      <c r="W182">
        <v>58965.599999999999</v>
      </c>
      <c r="X182">
        <v>151965.63</v>
      </c>
      <c r="Y182">
        <v>5934069</v>
      </c>
      <c r="Z182">
        <v>267419.39</v>
      </c>
      <c r="AA182">
        <v>46286.84</v>
      </c>
      <c r="AB182">
        <v>375239.89</v>
      </c>
      <c r="AC182">
        <v>2409372.5699999998</v>
      </c>
      <c r="AD182">
        <v>1.28</v>
      </c>
      <c r="AE182">
        <v>0.93</v>
      </c>
      <c r="AF182">
        <v>0.84</v>
      </c>
      <c r="AG182">
        <v>4.3899999999999997</v>
      </c>
      <c r="AH182">
        <v>0</v>
      </c>
      <c r="AI182">
        <v>0</v>
      </c>
      <c r="AJ182">
        <v>0</v>
      </c>
      <c r="AK182">
        <v>0</v>
      </c>
      <c r="AL182">
        <v>547378.679999999</v>
      </c>
      <c r="AM182">
        <v>105252.44</v>
      </c>
      <c r="AN182">
        <v>527205.52</v>
      </c>
      <c r="AO182">
        <v>8343441.5700000003</v>
      </c>
      <c r="AP182">
        <v>657544.68999999994</v>
      </c>
      <c r="AQ182">
        <v>163310.96</v>
      </c>
      <c r="AR182">
        <v>445381.77</v>
      </c>
      <c r="AS182">
        <v>-4379355.9000000004</v>
      </c>
      <c r="AT182">
        <v>32.205032000000003</v>
      </c>
      <c r="AU182">
        <v>31.271086071999999</v>
      </c>
      <c r="AV182">
        <v>39891742.724898599</v>
      </c>
      <c r="AW182">
        <v>229017305</v>
      </c>
      <c r="AX182">
        <v>5.7409701696751796</v>
      </c>
      <c r="AY182">
        <v>1393669.1595999999</v>
      </c>
      <c r="AZ182">
        <v>1.0406018881327801</v>
      </c>
      <c r="BA182">
        <v>1574129.2682926799</v>
      </c>
      <c r="BB182">
        <v>1.1753448639277999</v>
      </c>
      <c r="BC182">
        <v>24.512993736836201</v>
      </c>
    </row>
    <row r="183" spans="1:55" x14ac:dyDescent="0.2">
      <c r="A183" t="s">
        <v>413</v>
      </c>
      <c r="B183" t="s">
        <v>414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17.55</v>
      </c>
      <c r="K183">
        <v>230.13</v>
      </c>
      <c r="L183">
        <v>161.09</v>
      </c>
      <c r="M183">
        <v>37.409999999999997</v>
      </c>
      <c r="N183">
        <v>146.58000000000001</v>
      </c>
      <c r="O183">
        <v>472.14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0.7</v>
      </c>
      <c r="AE183">
        <v>0</v>
      </c>
      <c r="AF183">
        <v>0</v>
      </c>
      <c r="AG183">
        <v>0.53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161.09</v>
      </c>
      <c r="AQ183">
        <v>37.409999999999997</v>
      </c>
      <c r="AR183">
        <v>146.58000000000001</v>
      </c>
      <c r="AS183">
        <v>472.14</v>
      </c>
      <c r="AT183">
        <v>0.453592</v>
      </c>
      <c r="AU183">
        <v>0.44043783199999997</v>
      </c>
      <c r="AV183">
        <v>160.75980867999999</v>
      </c>
      <c r="AW183">
        <v>0</v>
      </c>
      <c r="AY183">
        <v>226.74600000000001</v>
      </c>
      <c r="AZ183">
        <v>0.98529526789206101</v>
      </c>
      <c r="BA183">
        <v>365</v>
      </c>
      <c r="BB183">
        <v>1.5860600530135101</v>
      </c>
      <c r="BC183">
        <v>17.55</v>
      </c>
    </row>
    <row r="184" spans="1:55" x14ac:dyDescent="0.2">
      <c r="A184" t="s">
        <v>415</v>
      </c>
      <c r="B184" t="s">
        <v>416</v>
      </c>
      <c r="C184">
        <v>1886</v>
      </c>
      <c r="D184">
        <v>284</v>
      </c>
      <c r="E184">
        <v>1950</v>
      </c>
      <c r="F184">
        <v>550</v>
      </c>
      <c r="G184">
        <v>145</v>
      </c>
      <c r="H184">
        <v>0</v>
      </c>
      <c r="I184">
        <v>4815</v>
      </c>
      <c r="J184">
        <v>78849.279999999999</v>
      </c>
      <c r="K184">
        <v>937365.46</v>
      </c>
      <c r="L184">
        <v>656155.81999999995</v>
      </c>
      <c r="M184">
        <v>156089.24</v>
      </c>
      <c r="N184">
        <v>364660.95</v>
      </c>
      <c r="O184">
        <v>955940.76</v>
      </c>
      <c r="P184">
        <v>86190000</v>
      </c>
      <c r="Q184">
        <v>67356.070000000007</v>
      </c>
      <c r="R184">
        <v>7587.91</v>
      </c>
      <c r="S184">
        <v>209348.18</v>
      </c>
      <c r="T184">
        <v>1201156.27</v>
      </c>
      <c r="U184">
        <v>72</v>
      </c>
      <c r="V184">
        <v>129015.78</v>
      </c>
      <c r="W184">
        <v>44638.64</v>
      </c>
      <c r="X184">
        <v>138903.45000000001</v>
      </c>
      <c r="Y184">
        <v>2486187.2000000002</v>
      </c>
      <c r="Z184">
        <v>60206.07</v>
      </c>
      <c r="AA184">
        <v>7083.21</v>
      </c>
      <c r="AB184">
        <v>205122.27</v>
      </c>
      <c r="AC184">
        <v>1174719.31</v>
      </c>
      <c r="AD184">
        <v>1.22</v>
      </c>
      <c r="AE184">
        <v>1.71</v>
      </c>
      <c r="AF184">
        <v>1.66</v>
      </c>
      <c r="AG184">
        <v>4.21</v>
      </c>
      <c r="AH184">
        <v>14263.3</v>
      </c>
      <c r="AI184">
        <v>2234.16</v>
      </c>
      <c r="AJ184">
        <v>7619.66</v>
      </c>
      <c r="AK184">
        <v>123362.46</v>
      </c>
      <c r="AL184">
        <v>189221.85</v>
      </c>
      <c r="AM184">
        <v>51721.85</v>
      </c>
      <c r="AN184">
        <v>344025.72</v>
      </c>
      <c r="AO184">
        <v>3660906.51</v>
      </c>
      <c r="AP184">
        <v>520026.739999999</v>
      </c>
      <c r="AQ184">
        <v>109721.139999999</v>
      </c>
      <c r="AR184">
        <v>222363.75</v>
      </c>
      <c r="AS184">
        <v>-1627171.94</v>
      </c>
      <c r="AT184">
        <v>32.658624000000003</v>
      </c>
      <c r="AU184">
        <v>31.711523904</v>
      </c>
      <c r="AV184">
        <v>25117112.508163199</v>
      </c>
      <c r="AW184">
        <v>326264487.89999998</v>
      </c>
      <c r="AX184">
        <v>12.9897291256692</v>
      </c>
      <c r="AY184">
        <v>1018732.6976</v>
      </c>
      <c r="AZ184">
        <v>1.08680417731628</v>
      </c>
      <c r="BA184">
        <v>1132345.7317073101</v>
      </c>
      <c r="BB184">
        <v>1.2080088076931199</v>
      </c>
      <c r="BC184">
        <v>25.129779470636201</v>
      </c>
    </row>
    <row r="185" spans="1:55" x14ac:dyDescent="0.2">
      <c r="A185" t="s">
        <v>417</v>
      </c>
      <c r="B185" t="s">
        <v>418</v>
      </c>
      <c r="C185">
        <v>600</v>
      </c>
      <c r="D185">
        <v>75</v>
      </c>
      <c r="E185">
        <v>125</v>
      </c>
      <c r="F185">
        <v>100</v>
      </c>
      <c r="G185">
        <v>150</v>
      </c>
      <c r="H185">
        <v>150</v>
      </c>
      <c r="I185">
        <v>1200</v>
      </c>
      <c r="J185">
        <v>19760.52</v>
      </c>
      <c r="K185">
        <v>252287.37</v>
      </c>
      <c r="L185">
        <v>176601.16</v>
      </c>
      <c r="M185">
        <v>40682.15</v>
      </c>
      <c r="N185">
        <v>115220.35</v>
      </c>
      <c r="O185">
        <v>300577.5</v>
      </c>
      <c r="P185">
        <v>14376000</v>
      </c>
      <c r="Q185">
        <v>60986.66</v>
      </c>
      <c r="R185">
        <v>3257.41</v>
      </c>
      <c r="S185">
        <v>82996.63</v>
      </c>
      <c r="T185">
        <v>904007.84</v>
      </c>
      <c r="U185">
        <v>70</v>
      </c>
      <c r="V185">
        <v>52682.95</v>
      </c>
      <c r="W185">
        <v>16553.95</v>
      </c>
      <c r="X185">
        <v>59800.37</v>
      </c>
      <c r="Y185">
        <v>2708570.2</v>
      </c>
      <c r="Z185">
        <v>60986.66</v>
      </c>
      <c r="AA185">
        <v>3257.41</v>
      </c>
      <c r="AB185">
        <v>82996.63</v>
      </c>
      <c r="AC185">
        <v>904007.84</v>
      </c>
      <c r="AD185">
        <v>1.1599999999999999</v>
      </c>
      <c r="AE185">
        <v>0.95</v>
      </c>
      <c r="AF185">
        <v>1.08</v>
      </c>
      <c r="AG185">
        <v>8.5299999999999994</v>
      </c>
      <c r="AH185">
        <v>0</v>
      </c>
      <c r="AI185">
        <v>0</v>
      </c>
      <c r="AJ185">
        <v>0</v>
      </c>
      <c r="AK185">
        <v>0</v>
      </c>
      <c r="AL185">
        <v>113669.61</v>
      </c>
      <c r="AM185">
        <v>19811.36</v>
      </c>
      <c r="AN185">
        <v>142797</v>
      </c>
      <c r="AO185">
        <v>3612578.04</v>
      </c>
      <c r="AP185">
        <v>123918.21</v>
      </c>
      <c r="AQ185">
        <v>24128.199999999899</v>
      </c>
      <c r="AR185">
        <v>55419.98</v>
      </c>
      <c r="AS185">
        <v>-2407992.7000000002</v>
      </c>
      <c r="AT185">
        <v>31.751439999999999</v>
      </c>
      <c r="AU185">
        <v>30.830648239999999</v>
      </c>
      <c r="AV185">
        <v>7595900.9601299996</v>
      </c>
      <c r="AW185">
        <v>54419054.159999996</v>
      </c>
      <c r="AX185">
        <v>7.1642658909903201</v>
      </c>
      <c r="AY185">
        <v>255305.9184</v>
      </c>
      <c r="AZ185">
        <v>1.0119647226097701</v>
      </c>
      <c r="BA185">
        <v>289774.39024390199</v>
      </c>
      <c r="BB185">
        <v>1.1485885728005401</v>
      </c>
      <c r="BC185">
        <v>22.789910548523199</v>
      </c>
    </row>
    <row r="186" spans="1:55" x14ac:dyDescent="0.2">
      <c r="A186" t="s">
        <v>419</v>
      </c>
      <c r="B186" t="s">
        <v>420</v>
      </c>
      <c r="C186">
        <v>785</v>
      </c>
      <c r="D186">
        <v>75</v>
      </c>
      <c r="E186">
        <v>300</v>
      </c>
      <c r="F186">
        <v>250</v>
      </c>
      <c r="G186">
        <v>100</v>
      </c>
      <c r="H186">
        <v>90</v>
      </c>
      <c r="I186">
        <v>1600</v>
      </c>
      <c r="J186">
        <v>27791.54</v>
      </c>
      <c r="K186">
        <v>344624.68</v>
      </c>
      <c r="L186">
        <v>241237.28</v>
      </c>
      <c r="M186">
        <v>56938.42</v>
      </c>
      <c r="N186">
        <v>152815.25</v>
      </c>
      <c r="O186">
        <v>387923.4</v>
      </c>
      <c r="P186">
        <v>21360000</v>
      </c>
      <c r="Q186">
        <v>73154.47</v>
      </c>
      <c r="R186">
        <v>6831.18</v>
      </c>
      <c r="S186">
        <v>73607.11</v>
      </c>
      <c r="T186">
        <v>841812.89</v>
      </c>
      <c r="U186">
        <v>74</v>
      </c>
      <c r="V186">
        <v>60340.9</v>
      </c>
      <c r="W186">
        <v>11309.33</v>
      </c>
      <c r="X186">
        <v>69616.11</v>
      </c>
      <c r="Y186">
        <v>384476.54</v>
      </c>
      <c r="Z186">
        <v>73154.47</v>
      </c>
      <c r="AA186">
        <v>6831.18</v>
      </c>
      <c r="AB186">
        <v>73607.11</v>
      </c>
      <c r="AC186">
        <v>841812.89</v>
      </c>
      <c r="AD186">
        <v>1.23</v>
      </c>
      <c r="AE186">
        <v>0.83</v>
      </c>
      <c r="AF186">
        <v>1</v>
      </c>
      <c r="AG186">
        <v>2.2999999999999998</v>
      </c>
      <c r="AH186">
        <v>0</v>
      </c>
      <c r="AI186">
        <v>0</v>
      </c>
      <c r="AJ186">
        <v>0</v>
      </c>
      <c r="AK186">
        <v>0</v>
      </c>
      <c r="AL186">
        <v>133495.37</v>
      </c>
      <c r="AM186">
        <v>18140.509999999998</v>
      </c>
      <c r="AN186">
        <v>143223.22</v>
      </c>
      <c r="AO186">
        <v>1226289.43</v>
      </c>
      <c r="AP186">
        <v>180896.38</v>
      </c>
      <c r="AQ186">
        <v>45629.09</v>
      </c>
      <c r="AR186">
        <v>83199.139999999898</v>
      </c>
      <c r="AS186">
        <v>3446.8600000001002</v>
      </c>
      <c r="AT186">
        <v>33.565807999999997</v>
      </c>
      <c r="AU186">
        <v>32.592399567999998</v>
      </c>
      <c r="AV186">
        <v>10230754.2243951</v>
      </c>
      <c r="AW186">
        <v>80856357.599999994</v>
      </c>
      <c r="AX186">
        <v>7.9032645909133699</v>
      </c>
      <c r="AY186">
        <v>359066.69679999998</v>
      </c>
      <c r="AZ186">
        <v>1.0419065076825</v>
      </c>
      <c r="BA186">
        <v>395802.43902439001</v>
      </c>
      <c r="BB186">
        <v>1.1485028844259999</v>
      </c>
      <c r="BC186">
        <v>24.5783679896462</v>
      </c>
    </row>
    <row r="187" spans="1:55" x14ac:dyDescent="0.2">
      <c r="A187" t="s">
        <v>421</v>
      </c>
      <c r="B187" t="s">
        <v>422</v>
      </c>
      <c r="C187">
        <v>348</v>
      </c>
      <c r="D187">
        <v>62</v>
      </c>
      <c r="E187">
        <v>60</v>
      </c>
      <c r="F187">
        <v>44</v>
      </c>
      <c r="G187">
        <v>50</v>
      </c>
      <c r="H187">
        <v>99</v>
      </c>
      <c r="I187">
        <v>663</v>
      </c>
      <c r="J187">
        <v>10591.13</v>
      </c>
      <c r="K187">
        <v>136271.24</v>
      </c>
      <c r="L187">
        <v>95389.87</v>
      </c>
      <c r="M187">
        <v>21753</v>
      </c>
      <c r="N187">
        <v>62701.08</v>
      </c>
      <c r="O187">
        <v>178600.68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52</v>
      </c>
      <c r="V187">
        <v>8638.5</v>
      </c>
      <c r="W187">
        <v>2702.3</v>
      </c>
      <c r="X187">
        <v>11872.4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1.1200000000000001</v>
      </c>
      <c r="AE187">
        <v>3.25</v>
      </c>
      <c r="AF187">
        <v>3.25</v>
      </c>
      <c r="AG187">
        <v>0.25</v>
      </c>
      <c r="AH187">
        <v>43192.5</v>
      </c>
      <c r="AI187">
        <v>13511.5</v>
      </c>
      <c r="AJ187">
        <v>59362</v>
      </c>
      <c r="AK187">
        <v>0</v>
      </c>
      <c r="AL187">
        <v>8638.5</v>
      </c>
      <c r="AM187">
        <v>2702.3</v>
      </c>
      <c r="AN187">
        <v>11872.4</v>
      </c>
      <c r="AO187">
        <v>0</v>
      </c>
      <c r="AP187">
        <v>43558.869999999901</v>
      </c>
      <c r="AQ187">
        <v>5539.2</v>
      </c>
      <c r="AR187">
        <v>-8533.32</v>
      </c>
      <c r="AS187">
        <v>178600.68</v>
      </c>
      <c r="AT187">
        <v>23.586784000000002</v>
      </c>
      <c r="AU187">
        <v>22.902767264000001</v>
      </c>
      <c r="AV187">
        <v>3427399.1210575998</v>
      </c>
      <c r="AW187">
        <v>0</v>
      </c>
      <c r="AY187">
        <v>136837.39959999899</v>
      </c>
      <c r="AZ187">
        <v>1.0041546521481699</v>
      </c>
      <c r="BA187">
        <v>170170.12195121899</v>
      </c>
      <c r="BB187">
        <v>1.2487603543581101</v>
      </c>
      <c r="BC187">
        <v>21.074318369327798</v>
      </c>
    </row>
    <row r="188" spans="1:55" x14ac:dyDescent="0.2">
      <c r="A188" t="s">
        <v>423</v>
      </c>
      <c r="B188" t="s">
        <v>424</v>
      </c>
      <c r="C188">
        <v>2115</v>
      </c>
      <c r="D188">
        <v>305</v>
      </c>
      <c r="E188">
        <v>0</v>
      </c>
      <c r="F188">
        <v>0</v>
      </c>
      <c r="G188">
        <v>0</v>
      </c>
      <c r="H188">
        <v>0</v>
      </c>
      <c r="I188">
        <v>2420</v>
      </c>
      <c r="J188">
        <v>60122.07</v>
      </c>
      <c r="K188">
        <v>783358.65</v>
      </c>
      <c r="L188">
        <v>548351.06000000006</v>
      </c>
      <c r="M188">
        <v>130773.56</v>
      </c>
      <c r="N188">
        <v>413118.53</v>
      </c>
      <c r="O188">
        <v>1068903</v>
      </c>
      <c r="P188">
        <v>34769905</v>
      </c>
      <c r="Q188">
        <v>182430.24</v>
      </c>
      <c r="R188">
        <v>19792.05</v>
      </c>
      <c r="S188">
        <v>345825.01</v>
      </c>
      <c r="T188">
        <v>1620005.96</v>
      </c>
      <c r="U188">
        <v>75</v>
      </c>
      <c r="V188">
        <v>0</v>
      </c>
      <c r="W188">
        <v>0</v>
      </c>
      <c r="X188">
        <v>0</v>
      </c>
      <c r="Y188">
        <v>0</v>
      </c>
      <c r="Z188">
        <v>182430.24</v>
      </c>
      <c r="AA188">
        <v>19792.05</v>
      </c>
      <c r="AB188">
        <v>345825.01</v>
      </c>
      <c r="AC188">
        <v>1620005.96</v>
      </c>
      <c r="AD188">
        <v>1.38</v>
      </c>
      <c r="AE188">
        <v>0.64</v>
      </c>
      <c r="AF188">
        <v>1.53</v>
      </c>
      <c r="AG188">
        <v>4.4400000000000004</v>
      </c>
      <c r="AH188">
        <v>10668.67</v>
      </c>
      <c r="AI188">
        <v>3175.2</v>
      </c>
      <c r="AJ188">
        <v>6477.41</v>
      </c>
      <c r="AK188">
        <v>0</v>
      </c>
      <c r="AL188">
        <v>182430.24</v>
      </c>
      <c r="AM188">
        <v>19792.05</v>
      </c>
      <c r="AN188">
        <v>345825.01</v>
      </c>
      <c r="AO188">
        <v>1620005.96</v>
      </c>
      <c r="AP188">
        <v>537682.39</v>
      </c>
      <c r="AQ188">
        <v>127598.359999999</v>
      </c>
      <c r="AR188">
        <v>406641.12</v>
      </c>
      <c r="AS188">
        <v>1068903</v>
      </c>
      <c r="AT188">
        <v>34.019399999999997</v>
      </c>
      <c r="AU188">
        <v>33.032837399999998</v>
      </c>
      <c r="AV188">
        <v>29177905.275419999</v>
      </c>
      <c r="AW188">
        <v>131618346.08605</v>
      </c>
      <c r="AX188">
        <v>4.5108908553804801</v>
      </c>
      <c r="AY188">
        <v>776777.14439999999</v>
      </c>
      <c r="AZ188">
        <v>0.99159834949164005</v>
      </c>
      <c r="BA188">
        <v>883300</v>
      </c>
      <c r="BB188">
        <v>1.12758057883193</v>
      </c>
      <c r="BC188">
        <v>24.8438305785123</v>
      </c>
    </row>
    <row r="189" spans="1:55" x14ac:dyDescent="0.2">
      <c r="A189" t="s">
        <v>425</v>
      </c>
      <c r="B189" t="s">
        <v>426</v>
      </c>
      <c r="C189">
        <v>699</v>
      </c>
      <c r="D189">
        <v>0</v>
      </c>
      <c r="E189">
        <v>205</v>
      </c>
      <c r="F189">
        <v>45</v>
      </c>
      <c r="G189">
        <v>0</v>
      </c>
      <c r="H189">
        <v>0</v>
      </c>
      <c r="I189">
        <v>949</v>
      </c>
      <c r="J189">
        <v>22045.32</v>
      </c>
      <c r="K189">
        <v>278222.44</v>
      </c>
      <c r="L189">
        <v>194755.71</v>
      </c>
      <c r="M189">
        <v>47382.11</v>
      </c>
      <c r="N189">
        <v>142520.72</v>
      </c>
      <c r="O189">
        <v>330025.86</v>
      </c>
      <c r="P189">
        <v>19976000</v>
      </c>
      <c r="Q189">
        <v>78475.240000000005</v>
      </c>
      <c r="R189">
        <v>6651.62</v>
      </c>
      <c r="S189">
        <v>95001.03</v>
      </c>
      <c r="T189">
        <v>712519.63</v>
      </c>
      <c r="U189">
        <v>88</v>
      </c>
      <c r="V189">
        <v>0</v>
      </c>
      <c r="W189">
        <v>0</v>
      </c>
      <c r="X189">
        <v>0</v>
      </c>
      <c r="Y189">
        <v>0</v>
      </c>
      <c r="Z189">
        <v>78475.240000000005</v>
      </c>
      <c r="AA189">
        <v>6651.62</v>
      </c>
      <c r="AB189">
        <v>95001.03</v>
      </c>
      <c r="AC189">
        <v>712519.63</v>
      </c>
      <c r="AD189">
        <v>0.73</v>
      </c>
      <c r="AE189">
        <v>0.34</v>
      </c>
      <c r="AF189">
        <v>0.7</v>
      </c>
      <c r="AG189">
        <v>2.04</v>
      </c>
      <c r="AH189">
        <v>0</v>
      </c>
      <c r="AI189">
        <v>0</v>
      </c>
      <c r="AJ189">
        <v>0</v>
      </c>
      <c r="AK189">
        <v>0</v>
      </c>
      <c r="AL189">
        <v>78475.240000000005</v>
      </c>
      <c r="AM189">
        <v>6651.62</v>
      </c>
      <c r="AN189">
        <v>95001.03</v>
      </c>
      <c r="AO189">
        <v>712519.63</v>
      </c>
      <c r="AP189">
        <v>194755.71</v>
      </c>
      <c r="AQ189">
        <v>47382.11</v>
      </c>
      <c r="AR189">
        <v>142520.72</v>
      </c>
      <c r="AS189">
        <v>330025.86</v>
      </c>
      <c r="AT189">
        <v>39.916095999999897</v>
      </c>
      <c r="AU189">
        <v>38.7585292159999</v>
      </c>
      <c r="AV189">
        <v>9888657.35152415</v>
      </c>
      <c r="AW189">
        <v>75617350.159999996</v>
      </c>
      <c r="AX189">
        <v>7.6468773739384197</v>
      </c>
      <c r="AY189">
        <v>284825.5344</v>
      </c>
      <c r="AZ189">
        <v>1.0237331481960901</v>
      </c>
      <c r="BA189">
        <v>288519.14634146303</v>
      </c>
      <c r="BB189">
        <v>1.03700889957497</v>
      </c>
      <c r="BC189">
        <v>27.889108580949699</v>
      </c>
    </row>
    <row r="190" spans="1:55" x14ac:dyDescent="0.2">
      <c r="A190" t="s">
        <v>427</v>
      </c>
      <c r="B190" t="s">
        <v>428</v>
      </c>
      <c r="C190">
        <v>826</v>
      </c>
      <c r="D190">
        <v>140</v>
      </c>
      <c r="E190">
        <v>190</v>
      </c>
      <c r="F190">
        <v>235</v>
      </c>
      <c r="G190">
        <v>110</v>
      </c>
      <c r="H190">
        <v>0</v>
      </c>
      <c r="I190">
        <v>1501</v>
      </c>
      <c r="J190">
        <v>27706.080000000002</v>
      </c>
      <c r="K190">
        <v>349482.33</v>
      </c>
      <c r="L190">
        <v>244637.63</v>
      </c>
      <c r="M190">
        <v>57651.59</v>
      </c>
      <c r="N190">
        <v>158620.01</v>
      </c>
      <c r="O190">
        <v>422268.84</v>
      </c>
      <c r="P190">
        <v>26763000</v>
      </c>
      <c r="Q190">
        <v>127893.38</v>
      </c>
      <c r="R190">
        <v>7491.88</v>
      </c>
      <c r="S190">
        <v>186339.49</v>
      </c>
      <c r="T190">
        <v>1235533.83</v>
      </c>
      <c r="U190">
        <v>70</v>
      </c>
      <c r="V190">
        <v>13665.07</v>
      </c>
      <c r="W190">
        <v>8446.31</v>
      </c>
      <c r="X190">
        <v>35691</v>
      </c>
      <c r="Y190">
        <v>799201</v>
      </c>
      <c r="Z190">
        <v>127893.38</v>
      </c>
      <c r="AA190">
        <v>7491.88</v>
      </c>
      <c r="AB190">
        <v>186339.49</v>
      </c>
      <c r="AC190">
        <v>1235533.83</v>
      </c>
      <c r="AD190">
        <v>1.26</v>
      </c>
      <c r="AE190">
        <v>0.63</v>
      </c>
      <c r="AF190">
        <v>1.95</v>
      </c>
      <c r="AG190">
        <v>4.8</v>
      </c>
      <c r="AH190">
        <v>0</v>
      </c>
      <c r="AI190">
        <v>0</v>
      </c>
      <c r="AJ190">
        <v>0</v>
      </c>
      <c r="AK190">
        <v>0</v>
      </c>
      <c r="AL190">
        <v>141558.45000000001</v>
      </c>
      <c r="AM190">
        <v>15938.1899999999</v>
      </c>
      <c r="AN190">
        <v>222030.49</v>
      </c>
      <c r="AO190">
        <v>2034734.83</v>
      </c>
      <c r="AP190">
        <v>230972.56</v>
      </c>
      <c r="AQ190">
        <v>49205.279999999999</v>
      </c>
      <c r="AR190">
        <v>122929.01</v>
      </c>
      <c r="AS190">
        <v>-376932.15999999898</v>
      </c>
      <c r="AT190">
        <v>31.751439999999999</v>
      </c>
      <c r="AU190">
        <v>30.830648239999999</v>
      </c>
      <c r="AV190">
        <v>10870578.2629415</v>
      </c>
      <c r="AW190">
        <v>101308927.83</v>
      </c>
      <c r="AX190">
        <v>9.3195527762646897</v>
      </c>
      <c r="AY190">
        <v>357962.55359999998</v>
      </c>
      <c r="AZ190">
        <v>1.0242650997548199</v>
      </c>
      <c r="BA190">
        <v>414239.39024390199</v>
      </c>
      <c r="BB190">
        <v>1.1852942328841101</v>
      </c>
      <c r="BC190">
        <v>23.848948793852699</v>
      </c>
    </row>
    <row r="191" spans="1:55" x14ac:dyDescent="0.2">
      <c r="A191" t="s">
        <v>429</v>
      </c>
      <c r="B191" t="s">
        <v>430</v>
      </c>
      <c r="C191">
        <v>0</v>
      </c>
      <c r="D191">
        <v>0</v>
      </c>
      <c r="E191">
        <v>5</v>
      </c>
      <c r="F191">
        <v>3</v>
      </c>
      <c r="G191">
        <v>0</v>
      </c>
      <c r="H191">
        <v>0</v>
      </c>
      <c r="I191">
        <v>8</v>
      </c>
      <c r="J191">
        <v>81.39</v>
      </c>
      <c r="K191">
        <v>761.28</v>
      </c>
      <c r="L191">
        <v>532.9</v>
      </c>
      <c r="M191">
        <v>128.83000000000001</v>
      </c>
      <c r="N191">
        <v>1</v>
      </c>
      <c r="O191">
        <v>0</v>
      </c>
      <c r="P191">
        <v>612000</v>
      </c>
      <c r="Q191">
        <v>602.64</v>
      </c>
      <c r="R191">
        <v>5</v>
      </c>
      <c r="S191">
        <v>64.349999999999994</v>
      </c>
      <c r="T191">
        <v>102.14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602.64</v>
      </c>
      <c r="AA191">
        <v>5</v>
      </c>
      <c r="AB191">
        <v>64.349999999999994</v>
      </c>
      <c r="AC191">
        <v>102.14</v>
      </c>
      <c r="AD191">
        <v>0.52</v>
      </c>
      <c r="AE191">
        <v>0.01</v>
      </c>
      <c r="AF191">
        <v>0.02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602.64</v>
      </c>
      <c r="AM191">
        <v>5</v>
      </c>
      <c r="AN191">
        <v>64.349999999999994</v>
      </c>
      <c r="AO191">
        <v>102.14</v>
      </c>
      <c r="AP191">
        <v>532.9</v>
      </c>
      <c r="AQ191">
        <v>128.83000000000001</v>
      </c>
      <c r="AR191">
        <v>1</v>
      </c>
      <c r="AS191">
        <v>0</v>
      </c>
      <c r="AT191">
        <v>0.453592</v>
      </c>
      <c r="AU191">
        <v>0.44043783199999997</v>
      </c>
      <c r="AV191">
        <v>0</v>
      </c>
      <c r="AW191">
        <v>2316670.92</v>
      </c>
      <c r="AY191">
        <v>1051.5588</v>
      </c>
      <c r="AZ191">
        <v>1.38130359394703</v>
      </c>
      <c r="BA191">
        <v>1068.2926829268199</v>
      </c>
      <c r="BB191">
        <v>1.40328483991019</v>
      </c>
      <c r="BC191">
        <v>27.808249999999902</v>
      </c>
    </row>
    <row r="192" spans="1:55" x14ac:dyDescent="0.2">
      <c r="A192" t="s">
        <v>431</v>
      </c>
      <c r="B192" t="s">
        <v>432</v>
      </c>
      <c r="C192">
        <v>950</v>
      </c>
      <c r="D192">
        <v>145</v>
      </c>
      <c r="E192">
        <v>35</v>
      </c>
      <c r="F192">
        <v>108</v>
      </c>
      <c r="G192">
        <v>85</v>
      </c>
      <c r="H192">
        <v>50</v>
      </c>
      <c r="I192">
        <v>1373</v>
      </c>
      <c r="J192">
        <v>28421.64</v>
      </c>
      <c r="K192">
        <v>366544.28</v>
      </c>
      <c r="L192">
        <v>256581</v>
      </c>
      <c r="M192">
        <v>60381.37</v>
      </c>
      <c r="N192">
        <v>182432.21</v>
      </c>
      <c r="O192">
        <v>481967.1</v>
      </c>
      <c r="P192">
        <v>14156480</v>
      </c>
      <c r="Q192">
        <v>92594.8</v>
      </c>
      <c r="R192">
        <v>13581.96</v>
      </c>
      <c r="S192">
        <v>136510.63</v>
      </c>
      <c r="T192">
        <v>766659.85</v>
      </c>
      <c r="U192">
        <v>70</v>
      </c>
      <c r="V192">
        <v>20613.48</v>
      </c>
      <c r="W192">
        <v>6491.5</v>
      </c>
      <c r="X192">
        <v>14694.6</v>
      </c>
      <c r="Y192">
        <v>368087.76</v>
      </c>
      <c r="Z192">
        <v>51711.37</v>
      </c>
      <c r="AA192">
        <v>7362.09</v>
      </c>
      <c r="AB192">
        <v>84794.84</v>
      </c>
      <c r="AC192">
        <v>455666.24</v>
      </c>
      <c r="AD192">
        <v>1.19</v>
      </c>
      <c r="AE192">
        <v>0.99</v>
      </c>
      <c r="AF192">
        <v>1.02</v>
      </c>
      <c r="AG192">
        <v>2.61</v>
      </c>
      <c r="AH192">
        <v>141949.20000000001</v>
      </c>
      <c r="AI192">
        <v>42140.03</v>
      </c>
      <c r="AJ192">
        <v>170277.44</v>
      </c>
      <c r="AK192">
        <v>1681916.37</v>
      </c>
      <c r="AL192">
        <v>72324.850000000006</v>
      </c>
      <c r="AM192">
        <v>13853.59</v>
      </c>
      <c r="AN192">
        <v>99489.44</v>
      </c>
      <c r="AO192">
        <v>823754</v>
      </c>
      <c r="AP192">
        <v>134901.74999999901</v>
      </c>
      <c r="AQ192">
        <v>17969.71</v>
      </c>
      <c r="AR192">
        <v>49175.959999999897</v>
      </c>
      <c r="AS192">
        <v>-1257043.42</v>
      </c>
      <c r="AT192">
        <v>31.751439999999999</v>
      </c>
      <c r="AU192">
        <v>30.830648239999999</v>
      </c>
      <c r="AV192">
        <v>12322239.335322</v>
      </c>
      <c r="AW192">
        <v>53588080.956799999</v>
      </c>
      <c r="AX192">
        <v>4.3488914229403397</v>
      </c>
      <c r="AY192">
        <v>367207.58879999898</v>
      </c>
      <c r="AZ192">
        <v>1.0018096280209301</v>
      </c>
      <c r="BA192">
        <v>424779.87804878002</v>
      </c>
      <c r="BB192">
        <v>1.15887738869852</v>
      </c>
      <c r="BC192">
        <v>23.749867318862702</v>
      </c>
    </row>
    <row r="193" spans="1:55" x14ac:dyDescent="0.2">
      <c r="A193" t="s">
        <v>433</v>
      </c>
      <c r="B193" t="s">
        <v>434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1</v>
      </c>
      <c r="L193">
        <v>0.7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3.97</v>
      </c>
      <c r="AE193">
        <v>0</v>
      </c>
      <c r="AF193">
        <v>0</v>
      </c>
      <c r="AG193">
        <v>32.64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0.7</v>
      </c>
      <c r="AQ193">
        <v>1</v>
      </c>
      <c r="AR193">
        <v>1</v>
      </c>
      <c r="AS193">
        <v>0</v>
      </c>
      <c r="AT193">
        <v>0.453592</v>
      </c>
      <c r="AU193">
        <v>0.44043783199999997</v>
      </c>
      <c r="AV193">
        <v>0</v>
      </c>
      <c r="AW193">
        <v>0</v>
      </c>
    </row>
    <row r="194" spans="1:55" x14ac:dyDescent="0.2">
      <c r="A194" t="s">
        <v>435</v>
      </c>
      <c r="B194" t="s">
        <v>436</v>
      </c>
      <c r="C194">
        <v>525</v>
      </c>
      <c r="D194">
        <v>50</v>
      </c>
      <c r="E194">
        <v>0</v>
      </c>
      <c r="F194">
        <v>0</v>
      </c>
      <c r="G194">
        <v>0</v>
      </c>
      <c r="H194">
        <v>0</v>
      </c>
      <c r="I194">
        <v>575</v>
      </c>
      <c r="J194">
        <v>14112.14</v>
      </c>
      <c r="K194">
        <v>184091.35</v>
      </c>
      <c r="L194">
        <v>128863.95</v>
      </c>
      <c r="M194">
        <v>30800.77</v>
      </c>
      <c r="N194">
        <v>100126.06</v>
      </c>
      <c r="O194">
        <v>259402.5</v>
      </c>
      <c r="P194">
        <v>5490000</v>
      </c>
      <c r="Q194">
        <v>33870.85</v>
      </c>
      <c r="R194">
        <v>2019.22</v>
      </c>
      <c r="S194">
        <v>31684.05</v>
      </c>
      <c r="T194">
        <v>276962.21000000002</v>
      </c>
      <c r="U194">
        <v>68</v>
      </c>
      <c r="V194">
        <v>31720.21</v>
      </c>
      <c r="W194">
        <v>6484.07</v>
      </c>
      <c r="X194">
        <v>6960.19</v>
      </c>
      <c r="Y194">
        <v>0</v>
      </c>
      <c r="Z194">
        <v>33870.85</v>
      </c>
      <c r="AA194">
        <v>2019.22</v>
      </c>
      <c r="AB194">
        <v>31684.05</v>
      </c>
      <c r="AC194">
        <v>276962.21000000002</v>
      </c>
      <c r="AD194">
        <v>1.2</v>
      </c>
      <c r="AE194">
        <v>0.59</v>
      </c>
      <c r="AF194">
        <v>0.51</v>
      </c>
      <c r="AG194">
        <v>0.94</v>
      </c>
      <c r="AH194">
        <v>22944.9</v>
      </c>
      <c r="AI194">
        <v>9558.33</v>
      </c>
      <c r="AJ194">
        <v>34846.800000000003</v>
      </c>
      <c r="AK194">
        <v>494481</v>
      </c>
      <c r="AL194">
        <v>65591.06</v>
      </c>
      <c r="AM194">
        <v>8503.28999999999</v>
      </c>
      <c r="AN194">
        <v>38644.239999999998</v>
      </c>
      <c r="AO194">
        <v>276962.21000000002</v>
      </c>
      <c r="AP194">
        <v>74198.84</v>
      </c>
      <c r="AQ194">
        <v>14758.369999999901</v>
      </c>
      <c r="AR194">
        <v>58319.069999999898</v>
      </c>
      <c r="AS194">
        <v>-235078.5</v>
      </c>
      <c r="AT194">
        <v>30.844256000000001</v>
      </c>
      <c r="AU194">
        <v>29.949772576000001</v>
      </c>
      <c r="AV194">
        <v>6285708.5193879995</v>
      </c>
      <c r="AW194">
        <v>20781900.899999999</v>
      </c>
      <c r="AX194">
        <v>3.3062145398405098</v>
      </c>
      <c r="AY194">
        <v>182328.84879999899</v>
      </c>
      <c r="AZ194">
        <v>0.99042594233786596</v>
      </c>
      <c r="BA194">
        <v>209875</v>
      </c>
      <c r="BB194">
        <v>1.1400589978833799</v>
      </c>
      <c r="BC194">
        <v>24.542852173913001</v>
      </c>
    </row>
    <row r="195" spans="1:55" x14ac:dyDescent="0.2">
      <c r="A195" t="s">
        <v>437</v>
      </c>
      <c r="B195" t="s">
        <v>438</v>
      </c>
      <c r="C195">
        <v>470</v>
      </c>
      <c r="D195">
        <v>90</v>
      </c>
      <c r="E195">
        <v>140</v>
      </c>
      <c r="F195">
        <v>30</v>
      </c>
      <c r="G195">
        <v>0</v>
      </c>
      <c r="H195">
        <v>0</v>
      </c>
      <c r="I195">
        <v>730</v>
      </c>
      <c r="J195">
        <v>14788.34</v>
      </c>
      <c r="K195">
        <v>186368.67</v>
      </c>
      <c r="L195">
        <v>130458.07</v>
      </c>
      <c r="M195">
        <v>30872.58</v>
      </c>
      <c r="N195">
        <v>88398.12</v>
      </c>
      <c r="O195">
        <v>242658</v>
      </c>
      <c r="P195">
        <v>3870000</v>
      </c>
      <c r="Q195">
        <v>23386.95</v>
      </c>
      <c r="R195">
        <v>1307.78</v>
      </c>
      <c r="S195">
        <v>34520.14</v>
      </c>
      <c r="T195">
        <v>181769.12</v>
      </c>
      <c r="U195">
        <v>64</v>
      </c>
      <c r="V195">
        <v>31647.14</v>
      </c>
      <c r="W195">
        <v>7977.04</v>
      </c>
      <c r="X195">
        <v>37345.47</v>
      </c>
      <c r="Y195">
        <v>152362.51999999999</v>
      </c>
      <c r="Z195">
        <v>23386.95</v>
      </c>
      <c r="AA195">
        <v>1307.78</v>
      </c>
      <c r="AB195">
        <v>34520.14</v>
      </c>
      <c r="AC195">
        <v>181769.12</v>
      </c>
      <c r="AD195">
        <v>1.04</v>
      </c>
      <c r="AE195">
        <v>1.07</v>
      </c>
      <c r="AF195">
        <v>1.1399999999999999</v>
      </c>
      <c r="AG195">
        <v>1.39</v>
      </c>
      <c r="AH195">
        <v>8700</v>
      </c>
      <c r="AI195">
        <v>3080</v>
      </c>
      <c r="AJ195">
        <v>6250</v>
      </c>
      <c r="AK195">
        <v>22260</v>
      </c>
      <c r="AL195">
        <v>55034.09</v>
      </c>
      <c r="AM195">
        <v>9284.82</v>
      </c>
      <c r="AN195">
        <v>71865.61</v>
      </c>
      <c r="AO195">
        <v>334131.64</v>
      </c>
      <c r="AP195">
        <v>90110.93</v>
      </c>
      <c r="AQ195">
        <v>19815.54</v>
      </c>
      <c r="AR195">
        <v>44802.6499999999</v>
      </c>
      <c r="AS195">
        <v>68035.479999999894</v>
      </c>
      <c r="AT195">
        <v>29.029888</v>
      </c>
      <c r="AU195">
        <v>28.188021247999998</v>
      </c>
      <c r="AV195">
        <v>5761631.54309119</v>
      </c>
      <c r="AW195">
        <v>14649536.699999999</v>
      </c>
      <c r="AX195">
        <v>2.5426021415004101</v>
      </c>
      <c r="AY195">
        <v>191065.35279999999</v>
      </c>
      <c r="AZ195">
        <v>1.02520103191164</v>
      </c>
      <c r="BA195">
        <v>227101.21951219501</v>
      </c>
      <c r="BB195">
        <v>1.2185589965963399</v>
      </c>
      <c r="BC195">
        <v>23.768010192081501</v>
      </c>
    </row>
    <row r="196" spans="1:55" x14ac:dyDescent="0.2">
      <c r="A196" t="s">
        <v>439</v>
      </c>
      <c r="B196" t="s">
        <v>440</v>
      </c>
      <c r="C196">
        <v>0</v>
      </c>
      <c r="D196">
        <v>0</v>
      </c>
      <c r="E196">
        <v>6</v>
      </c>
      <c r="F196">
        <v>1206</v>
      </c>
      <c r="G196">
        <v>2</v>
      </c>
      <c r="H196">
        <v>0</v>
      </c>
      <c r="I196">
        <v>1214</v>
      </c>
      <c r="J196">
        <v>11718.23</v>
      </c>
      <c r="K196">
        <v>115436.4</v>
      </c>
      <c r="L196">
        <v>80805.48</v>
      </c>
      <c r="M196">
        <v>19525.29</v>
      </c>
      <c r="N196">
        <v>1</v>
      </c>
      <c r="O196">
        <v>0</v>
      </c>
      <c r="P196">
        <v>1500000</v>
      </c>
      <c r="Q196">
        <v>1890.14</v>
      </c>
      <c r="R196">
        <v>533.25</v>
      </c>
      <c r="S196">
        <v>7497.98</v>
      </c>
      <c r="T196">
        <v>42309.15</v>
      </c>
      <c r="U196">
        <v>1</v>
      </c>
      <c r="V196">
        <v>11814.4</v>
      </c>
      <c r="W196">
        <v>3913.52</v>
      </c>
      <c r="X196">
        <v>27945.599999999999</v>
      </c>
      <c r="Y196">
        <v>145408</v>
      </c>
      <c r="Z196">
        <v>1890.14</v>
      </c>
      <c r="AA196">
        <v>533.25</v>
      </c>
      <c r="AB196">
        <v>7497.98</v>
      </c>
      <c r="AC196">
        <v>42309.15</v>
      </c>
      <c r="AD196">
        <v>0.95</v>
      </c>
      <c r="AE196">
        <v>4.32</v>
      </c>
      <c r="AF196">
        <v>2.66</v>
      </c>
      <c r="AG196">
        <v>2.2999999999999998</v>
      </c>
      <c r="AH196">
        <v>22579.200000000001</v>
      </c>
      <c r="AI196">
        <v>6804.48</v>
      </c>
      <c r="AJ196">
        <v>52531.199999999997</v>
      </c>
      <c r="AK196">
        <v>0</v>
      </c>
      <c r="AL196">
        <v>13704.539999999901</v>
      </c>
      <c r="AM196">
        <v>4446.7700000000004</v>
      </c>
      <c r="AN196">
        <v>35443.58</v>
      </c>
      <c r="AO196">
        <v>187717.15</v>
      </c>
      <c r="AP196">
        <v>46411.88</v>
      </c>
      <c r="AQ196">
        <v>8807.2900000000009</v>
      </c>
      <c r="AR196">
        <v>-80475.8</v>
      </c>
      <c r="AS196">
        <v>-145408</v>
      </c>
      <c r="AT196">
        <v>0.453592</v>
      </c>
      <c r="AU196">
        <v>0.44043783199999997</v>
      </c>
      <c r="AV196">
        <v>0</v>
      </c>
      <c r="AW196">
        <v>5678115</v>
      </c>
      <c r="AY196">
        <v>151399.53159999999</v>
      </c>
      <c r="AZ196">
        <v>1.31154065442096</v>
      </c>
      <c r="BA196">
        <v>161935.365853658</v>
      </c>
      <c r="BB196">
        <v>1.4028102561554101</v>
      </c>
      <c r="BC196">
        <v>26.383713893465099</v>
      </c>
    </row>
    <row r="197" spans="1:55" x14ac:dyDescent="0.2">
      <c r="A197" t="s">
        <v>441</v>
      </c>
      <c r="B197" t="s">
        <v>442</v>
      </c>
      <c r="C197">
        <v>1800</v>
      </c>
      <c r="D197">
        <v>198</v>
      </c>
      <c r="E197">
        <v>793</v>
      </c>
      <c r="F197">
        <v>708</v>
      </c>
      <c r="G197">
        <v>253</v>
      </c>
      <c r="H197">
        <v>335</v>
      </c>
      <c r="I197">
        <v>4087</v>
      </c>
      <c r="J197">
        <v>66295.42</v>
      </c>
      <c r="K197">
        <v>817305.98</v>
      </c>
      <c r="L197">
        <v>572114.18999999994</v>
      </c>
      <c r="M197">
        <v>134074.91</v>
      </c>
      <c r="N197">
        <v>346846.88</v>
      </c>
      <c r="O197">
        <v>895506.84</v>
      </c>
      <c r="P197">
        <v>72360000</v>
      </c>
      <c r="Q197">
        <v>152844.68</v>
      </c>
      <c r="R197">
        <v>30465.14</v>
      </c>
      <c r="S197">
        <v>272007.78000000003</v>
      </c>
      <c r="T197">
        <v>2988908.62</v>
      </c>
      <c r="U197">
        <v>71</v>
      </c>
      <c r="V197">
        <v>74511.360000000001</v>
      </c>
      <c r="W197">
        <v>16727.04</v>
      </c>
      <c r="X197">
        <v>11024.64</v>
      </c>
      <c r="Y197">
        <v>1140480</v>
      </c>
      <c r="Z197">
        <v>152844.68</v>
      </c>
      <c r="AA197">
        <v>30465.14</v>
      </c>
      <c r="AB197">
        <v>272007.78000000003</v>
      </c>
      <c r="AC197">
        <v>2988908.62</v>
      </c>
      <c r="AD197">
        <v>0.75</v>
      </c>
      <c r="AE197">
        <v>0.95</v>
      </c>
      <c r="AF197">
        <v>0.46</v>
      </c>
      <c r="AG197">
        <v>7.54</v>
      </c>
      <c r="AH197">
        <v>0</v>
      </c>
      <c r="AI197">
        <v>0</v>
      </c>
      <c r="AJ197">
        <v>0</v>
      </c>
      <c r="AK197">
        <v>0</v>
      </c>
      <c r="AL197">
        <v>227356.03999999899</v>
      </c>
      <c r="AM197">
        <v>47192.18</v>
      </c>
      <c r="AN197">
        <v>283032.42</v>
      </c>
      <c r="AO197">
        <v>4129388.62</v>
      </c>
      <c r="AP197">
        <v>497602.82999999903</v>
      </c>
      <c r="AQ197">
        <v>117347.87</v>
      </c>
      <c r="AR197">
        <v>335822.24</v>
      </c>
      <c r="AS197">
        <v>-244973.16</v>
      </c>
      <c r="AT197">
        <v>32.205032000000003</v>
      </c>
      <c r="AU197">
        <v>31.271086071999999</v>
      </c>
      <c r="AV197">
        <v>22805064.939727399</v>
      </c>
      <c r="AW197">
        <v>273912267.60000002</v>
      </c>
      <c r="AX197">
        <v>12.011027739843501</v>
      </c>
      <c r="AY197">
        <v>856536.82640000002</v>
      </c>
      <c r="AZ197">
        <v>1.0480001949820501</v>
      </c>
      <c r="BA197">
        <v>955881.58536585304</v>
      </c>
      <c r="BB197">
        <v>1.1695516841389699</v>
      </c>
      <c r="BC197">
        <v>24.000355134080301</v>
      </c>
    </row>
    <row r="198" spans="1:55" x14ac:dyDescent="0.2">
      <c r="A198" t="s">
        <v>443</v>
      </c>
      <c r="B198" t="s">
        <v>444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0.7</v>
      </c>
      <c r="M198">
        <v>1</v>
      </c>
      <c r="N198">
        <v>1</v>
      </c>
      <c r="O198">
        <v>0</v>
      </c>
      <c r="P198">
        <v>1680000</v>
      </c>
      <c r="Q198">
        <v>431.8</v>
      </c>
      <c r="R198">
        <v>88.32</v>
      </c>
      <c r="S198">
        <v>2159.02</v>
      </c>
      <c r="T198">
        <v>13599.01</v>
      </c>
      <c r="U198">
        <v>1</v>
      </c>
      <c r="V198">
        <v>12740.47</v>
      </c>
      <c r="W198">
        <v>5194.1899999999996</v>
      </c>
      <c r="X198">
        <v>9849.36</v>
      </c>
      <c r="Y198">
        <v>0</v>
      </c>
      <c r="Z198">
        <v>431.8</v>
      </c>
      <c r="AA198">
        <v>88.32</v>
      </c>
      <c r="AB198">
        <v>2159.02</v>
      </c>
      <c r="AC198">
        <v>13599.01</v>
      </c>
      <c r="AD198">
        <v>1.26</v>
      </c>
      <c r="AE198">
        <v>1.95</v>
      </c>
      <c r="AF198">
        <v>0.41</v>
      </c>
      <c r="AG198">
        <v>1.71</v>
      </c>
      <c r="AH198">
        <v>19914.96</v>
      </c>
      <c r="AI198">
        <v>8119.18</v>
      </c>
      <c r="AJ198">
        <v>15395.8</v>
      </c>
      <c r="AK198">
        <v>0</v>
      </c>
      <c r="AL198">
        <v>13172.2699999999</v>
      </c>
      <c r="AM198">
        <v>5282.5099999999902</v>
      </c>
      <c r="AN198">
        <v>12008.38</v>
      </c>
      <c r="AO198">
        <v>13599.01</v>
      </c>
      <c r="AP198">
        <v>-32654.729999999901</v>
      </c>
      <c r="AQ198">
        <v>-13312.369999999901</v>
      </c>
      <c r="AR198">
        <v>-25244.16</v>
      </c>
      <c r="AS198">
        <v>0</v>
      </c>
      <c r="AT198">
        <v>0.453592</v>
      </c>
      <c r="AU198">
        <v>0.44043783199999997</v>
      </c>
      <c r="AV198">
        <v>0</v>
      </c>
      <c r="AW198">
        <v>6359488.7999999998</v>
      </c>
    </row>
    <row r="199" spans="1:55" x14ac:dyDescent="0.2">
      <c r="A199" t="s">
        <v>445</v>
      </c>
      <c r="B199" t="s">
        <v>446</v>
      </c>
      <c r="C199">
        <v>455</v>
      </c>
      <c r="D199">
        <v>45</v>
      </c>
      <c r="E199">
        <v>36</v>
      </c>
      <c r="F199">
        <v>0</v>
      </c>
      <c r="G199">
        <v>65</v>
      </c>
      <c r="H199">
        <v>0</v>
      </c>
      <c r="I199">
        <v>601</v>
      </c>
      <c r="J199">
        <v>13513.83</v>
      </c>
      <c r="K199">
        <v>175008.3</v>
      </c>
      <c r="L199">
        <v>122505.81</v>
      </c>
      <c r="M199">
        <v>29094.25</v>
      </c>
      <c r="N199">
        <v>90372.97</v>
      </c>
      <c r="O199">
        <v>225199.8</v>
      </c>
      <c r="P199">
        <v>5285250</v>
      </c>
      <c r="Q199">
        <v>10699.69</v>
      </c>
      <c r="R199">
        <v>1296.51</v>
      </c>
      <c r="S199">
        <v>11711.37</v>
      </c>
      <c r="T199">
        <v>118566.95</v>
      </c>
      <c r="U199">
        <v>80</v>
      </c>
      <c r="V199">
        <v>81950.73</v>
      </c>
      <c r="W199">
        <v>24409.759999999998</v>
      </c>
      <c r="X199">
        <v>95494.36</v>
      </c>
      <c r="Y199">
        <v>936738</v>
      </c>
      <c r="Z199">
        <v>10699.69</v>
      </c>
      <c r="AA199">
        <v>1296.51</v>
      </c>
      <c r="AB199">
        <v>11711.37</v>
      </c>
      <c r="AC199">
        <v>118566.95</v>
      </c>
      <c r="AD199">
        <v>0.94</v>
      </c>
      <c r="AE199">
        <v>1.45</v>
      </c>
      <c r="AF199">
        <v>0.83</v>
      </c>
      <c r="AG199">
        <v>6.16</v>
      </c>
      <c r="AH199">
        <v>112728.78</v>
      </c>
      <c r="AI199">
        <v>35316.54</v>
      </c>
      <c r="AJ199">
        <v>138374.46</v>
      </c>
      <c r="AK199">
        <v>936738</v>
      </c>
      <c r="AL199">
        <v>92650.42</v>
      </c>
      <c r="AM199">
        <v>25706.269999999899</v>
      </c>
      <c r="AN199">
        <v>107205.73</v>
      </c>
      <c r="AO199">
        <v>1055304.95</v>
      </c>
      <c r="AP199">
        <v>-72173.7</v>
      </c>
      <c r="AQ199">
        <v>-30632.05</v>
      </c>
      <c r="AR199">
        <v>-143495.84999999899</v>
      </c>
      <c r="AS199">
        <v>-1648276.2</v>
      </c>
      <c r="AT199">
        <v>36.28736</v>
      </c>
      <c r="AU199">
        <v>35.235026560000001</v>
      </c>
      <c r="AV199">
        <v>6430392.3471999997</v>
      </c>
      <c r="AW199">
        <v>20006838.202500001</v>
      </c>
      <c r="AX199">
        <v>3.1112935451305099</v>
      </c>
      <c r="AY199">
        <v>174598.68359999999</v>
      </c>
      <c r="AZ199">
        <v>0.99765944586628097</v>
      </c>
      <c r="BA199">
        <v>190200.60975609699</v>
      </c>
      <c r="BB199">
        <v>1.08680908137555</v>
      </c>
      <c r="BC199">
        <v>25.167705200999301</v>
      </c>
    </row>
    <row r="200" spans="1:55" x14ac:dyDescent="0.2">
      <c r="A200" t="s">
        <v>447</v>
      </c>
      <c r="B200" t="s">
        <v>448</v>
      </c>
      <c r="C200">
        <v>1600</v>
      </c>
      <c r="D200">
        <v>200</v>
      </c>
      <c r="E200">
        <v>600</v>
      </c>
      <c r="F200">
        <v>420</v>
      </c>
      <c r="G200">
        <v>300</v>
      </c>
      <c r="H200">
        <v>0</v>
      </c>
      <c r="I200">
        <v>3120</v>
      </c>
      <c r="J200">
        <v>56821.57</v>
      </c>
      <c r="K200">
        <v>706808.42</v>
      </c>
      <c r="L200">
        <v>494765.89</v>
      </c>
      <c r="M200">
        <v>117059.07</v>
      </c>
      <c r="N200">
        <v>315686.90000000002</v>
      </c>
      <c r="O200">
        <v>801540</v>
      </c>
      <c r="P200">
        <v>30814000</v>
      </c>
      <c r="Q200">
        <v>133067.01999999999</v>
      </c>
      <c r="R200">
        <v>12634.76</v>
      </c>
      <c r="S200">
        <v>164229.43</v>
      </c>
      <c r="T200">
        <v>1379475.23</v>
      </c>
      <c r="U200">
        <v>78</v>
      </c>
      <c r="V200">
        <v>79038.13</v>
      </c>
      <c r="W200">
        <v>30868.81</v>
      </c>
      <c r="X200">
        <v>118379.18</v>
      </c>
      <c r="Y200">
        <v>2291450.2599999998</v>
      </c>
      <c r="Z200">
        <v>133067.01999999999</v>
      </c>
      <c r="AA200">
        <v>12634.76</v>
      </c>
      <c r="AB200">
        <v>164229.43</v>
      </c>
      <c r="AC200">
        <v>1379475.23</v>
      </c>
      <c r="AD200">
        <v>0.99</v>
      </c>
      <c r="AE200">
        <v>1.2</v>
      </c>
      <c r="AF200">
        <v>0.76</v>
      </c>
      <c r="AG200">
        <v>3.81</v>
      </c>
      <c r="AH200">
        <v>97360.8</v>
      </c>
      <c r="AI200">
        <v>14834.64</v>
      </c>
      <c r="AJ200">
        <v>64003.199999999997</v>
      </c>
      <c r="AK200">
        <v>1054968</v>
      </c>
      <c r="AL200">
        <v>212105.15</v>
      </c>
      <c r="AM200">
        <v>43503.57</v>
      </c>
      <c r="AN200">
        <v>282608.61</v>
      </c>
      <c r="AO200">
        <v>3670925.48999999</v>
      </c>
      <c r="AP200">
        <v>318366.96000000002</v>
      </c>
      <c r="AQ200">
        <v>71355.62</v>
      </c>
      <c r="AR200">
        <v>133304.51999999999</v>
      </c>
      <c r="AS200">
        <v>-2544878.2599999998</v>
      </c>
      <c r="AT200">
        <v>35.380175999999999</v>
      </c>
      <c r="AU200">
        <v>34.354150896</v>
      </c>
      <c r="AV200">
        <v>22570677.138672002</v>
      </c>
      <c r="AW200">
        <v>116643623.73999999</v>
      </c>
      <c r="AX200">
        <v>5.1679275293050804</v>
      </c>
      <c r="AY200">
        <v>734134.68440000003</v>
      </c>
      <c r="AZ200">
        <v>1.0386614868000501</v>
      </c>
      <c r="BA200">
        <v>806560.97560975596</v>
      </c>
      <c r="BB200">
        <v>1.1411309667331799</v>
      </c>
      <c r="BC200">
        <v>24.889790277777699</v>
      </c>
    </row>
    <row r="201" spans="1:55" x14ac:dyDescent="0.2">
      <c r="A201" t="s">
        <v>449</v>
      </c>
      <c r="B201" t="s">
        <v>450</v>
      </c>
      <c r="C201">
        <v>1550</v>
      </c>
      <c r="D201">
        <v>230</v>
      </c>
      <c r="E201">
        <v>1000</v>
      </c>
      <c r="F201">
        <v>400</v>
      </c>
      <c r="G201">
        <v>0</v>
      </c>
      <c r="H201">
        <v>0</v>
      </c>
      <c r="I201">
        <v>3180</v>
      </c>
      <c r="J201">
        <v>60783.16</v>
      </c>
      <c r="K201">
        <v>737121.17</v>
      </c>
      <c r="L201">
        <v>515984.82</v>
      </c>
      <c r="M201">
        <v>123803.12</v>
      </c>
      <c r="N201">
        <v>315011.94</v>
      </c>
      <c r="O201">
        <v>784850.4</v>
      </c>
      <c r="P201">
        <v>52326000</v>
      </c>
      <c r="Q201">
        <v>248717.42</v>
      </c>
      <c r="R201">
        <v>21745.59</v>
      </c>
      <c r="S201">
        <v>243223.19</v>
      </c>
      <c r="T201">
        <v>2110543.63</v>
      </c>
      <c r="U201">
        <v>87</v>
      </c>
      <c r="V201">
        <v>17017.919999999998</v>
      </c>
      <c r="W201">
        <v>6568.32</v>
      </c>
      <c r="X201">
        <v>31547.84</v>
      </c>
      <c r="Y201">
        <v>388128</v>
      </c>
      <c r="Z201">
        <v>248717.42</v>
      </c>
      <c r="AA201">
        <v>21745.59</v>
      </c>
      <c r="AB201">
        <v>243223.19</v>
      </c>
      <c r="AC201">
        <v>2110543.63</v>
      </c>
      <c r="AD201">
        <v>1.26</v>
      </c>
      <c r="AE201">
        <v>0.86</v>
      </c>
      <c r="AF201">
        <v>0.92</v>
      </c>
      <c r="AG201">
        <v>2.42</v>
      </c>
      <c r="AH201">
        <v>227310.57</v>
      </c>
      <c r="AI201">
        <v>63234.49</v>
      </c>
      <c r="AJ201">
        <v>278013.28999999998</v>
      </c>
      <c r="AK201">
        <v>7123539.3200000003</v>
      </c>
      <c r="AL201">
        <v>265735.34000000003</v>
      </c>
      <c r="AM201">
        <v>28313.91</v>
      </c>
      <c r="AN201">
        <v>274771.03000000003</v>
      </c>
      <c r="AO201">
        <v>2498671.63</v>
      </c>
      <c r="AP201">
        <v>271656.32999999903</v>
      </c>
      <c r="AQ201">
        <v>54000.309999999903</v>
      </c>
      <c r="AR201">
        <v>5450.8099999999904</v>
      </c>
      <c r="AS201">
        <v>-6726816.9199999999</v>
      </c>
      <c r="AT201">
        <v>39.462504000000003</v>
      </c>
      <c r="AU201">
        <v>38.318091383999999</v>
      </c>
      <c r="AV201">
        <v>24895263.9721848</v>
      </c>
      <c r="AW201">
        <v>198075363.66</v>
      </c>
      <c r="AX201">
        <v>7.9563471944425803</v>
      </c>
      <c r="AY201">
        <v>785318.42720000003</v>
      </c>
      <c r="AZ201">
        <v>1.06538579973222</v>
      </c>
      <c r="BA201">
        <v>836651.21951219498</v>
      </c>
      <c r="BB201">
        <v>1.13502535751645</v>
      </c>
      <c r="BC201">
        <v>26.517445839540301</v>
      </c>
    </row>
    <row r="202" spans="1:55" x14ac:dyDescent="0.2">
      <c r="A202" t="s">
        <v>451</v>
      </c>
      <c r="B202" t="s">
        <v>452</v>
      </c>
      <c r="C202">
        <v>1206</v>
      </c>
      <c r="D202">
        <v>98</v>
      </c>
      <c r="E202">
        <v>0</v>
      </c>
      <c r="F202">
        <v>0</v>
      </c>
      <c r="G202">
        <v>0</v>
      </c>
      <c r="H202">
        <v>0</v>
      </c>
      <c r="I202">
        <v>1304</v>
      </c>
      <c r="J202">
        <v>30929.66</v>
      </c>
      <c r="K202">
        <v>404954.24</v>
      </c>
      <c r="L202">
        <v>283467.96999999997</v>
      </c>
      <c r="M202">
        <v>67616.97</v>
      </c>
      <c r="N202">
        <v>223647.77</v>
      </c>
      <c r="O202">
        <v>591997.68000000005</v>
      </c>
      <c r="P202">
        <v>32154000</v>
      </c>
      <c r="Q202">
        <v>30803.72</v>
      </c>
      <c r="R202">
        <v>1974.87</v>
      </c>
      <c r="S202">
        <v>77545.960000000006</v>
      </c>
      <c r="T202">
        <v>684229.08</v>
      </c>
      <c r="U202">
        <v>60</v>
      </c>
      <c r="V202">
        <v>37707.74</v>
      </c>
      <c r="W202">
        <v>10408.32</v>
      </c>
      <c r="X202">
        <v>61387.82</v>
      </c>
      <c r="Y202">
        <v>524763.6</v>
      </c>
      <c r="Z202">
        <v>30803.72</v>
      </c>
      <c r="AA202">
        <v>1974.87</v>
      </c>
      <c r="AB202">
        <v>77545.960000000006</v>
      </c>
      <c r="AC202">
        <v>684229.08</v>
      </c>
      <c r="AD202">
        <v>1.27</v>
      </c>
      <c r="AE202">
        <v>0.84</v>
      </c>
      <c r="AF202">
        <v>1.1499999999999999</v>
      </c>
      <c r="AG202">
        <v>4.0999999999999996</v>
      </c>
      <c r="AH202">
        <v>0</v>
      </c>
      <c r="AI202">
        <v>0</v>
      </c>
      <c r="AJ202">
        <v>0</v>
      </c>
      <c r="AK202">
        <v>0</v>
      </c>
      <c r="AL202">
        <v>68511.459999999905</v>
      </c>
      <c r="AM202">
        <v>12383.1899999999</v>
      </c>
      <c r="AN202">
        <v>138933.78</v>
      </c>
      <c r="AO202">
        <v>1208992.68</v>
      </c>
      <c r="AP202">
        <v>245760.22999999899</v>
      </c>
      <c r="AQ202">
        <v>57208.6499999999</v>
      </c>
      <c r="AR202">
        <v>162259.94999999899</v>
      </c>
      <c r="AS202">
        <v>67234.080000000002</v>
      </c>
      <c r="AT202">
        <v>27.215519999999898</v>
      </c>
      <c r="AU202">
        <v>26.4262699199999</v>
      </c>
      <c r="AV202">
        <v>12577847.4311231</v>
      </c>
      <c r="AW202">
        <v>121716073.14</v>
      </c>
      <c r="AX202">
        <v>9.6770193633308192</v>
      </c>
      <c r="AY202">
        <v>399611.2072</v>
      </c>
      <c r="AZ202">
        <v>0.98680583564207103</v>
      </c>
      <c r="BA202">
        <v>475960</v>
      </c>
      <c r="BB202">
        <v>1.1753426757551599</v>
      </c>
      <c r="BC202">
        <v>23.719064417177901</v>
      </c>
    </row>
    <row r="203" spans="1:55" x14ac:dyDescent="0.2">
      <c r="A203" t="s">
        <v>453</v>
      </c>
      <c r="B203" t="s">
        <v>454</v>
      </c>
      <c r="C203">
        <v>965</v>
      </c>
      <c r="D203">
        <v>136</v>
      </c>
      <c r="E203">
        <v>405</v>
      </c>
      <c r="F203">
        <v>255</v>
      </c>
      <c r="G203">
        <v>65</v>
      </c>
      <c r="H203">
        <v>0</v>
      </c>
      <c r="I203">
        <v>1826</v>
      </c>
      <c r="J203">
        <v>34303.269999999997</v>
      </c>
      <c r="K203">
        <v>425946.36</v>
      </c>
      <c r="L203">
        <v>298162.45</v>
      </c>
      <c r="M203">
        <v>71001.210000000006</v>
      </c>
      <c r="N203">
        <v>189762.92</v>
      </c>
      <c r="O203">
        <v>486973.98</v>
      </c>
      <c r="P203">
        <v>31176000</v>
      </c>
      <c r="Q203">
        <v>114274.96</v>
      </c>
      <c r="R203">
        <v>22006.97</v>
      </c>
      <c r="S203">
        <v>123212.26</v>
      </c>
      <c r="T203">
        <v>654234.65</v>
      </c>
      <c r="U203">
        <v>77</v>
      </c>
      <c r="V203">
        <v>0</v>
      </c>
      <c r="W203">
        <v>0</v>
      </c>
      <c r="X203">
        <v>0</v>
      </c>
      <c r="Y203">
        <v>0</v>
      </c>
      <c r="Z203">
        <v>114274.96</v>
      </c>
      <c r="AA203">
        <v>22006.97</v>
      </c>
      <c r="AB203">
        <v>123212.26</v>
      </c>
      <c r="AC203">
        <v>654234.65</v>
      </c>
      <c r="AD203">
        <v>1.31</v>
      </c>
      <c r="AE203">
        <v>1.01</v>
      </c>
      <c r="AF203">
        <v>0.96</v>
      </c>
      <c r="AG203">
        <v>2.2799999999999998</v>
      </c>
      <c r="AH203">
        <v>82655.039999999994</v>
      </c>
      <c r="AI203">
        <v>13413.36</v>
      </c>
      <c r="AJ203">
        <v>42083.63</v>
      </c>
      <c r="AK203">
        <v>628025.19999999995</v>
      </c>
      <c r="AL203">
        <v>114274.96</v>
      </c>
      <c r="AM203">
        <v>22006.97</v>
      </c>
      <c r="AN203">
        <v>123212.26</v>
      </c>
      <c r="AO203">
        <v>654234.65</v>
      </c>
      <c r="AP203">
        <v>215507.41</v>
      </c>
      <c r="AQ203">
        <v>57587.85</v>
      </c>
      <c r="AR203">
        <v>147679.28999999899</v>
      </c>
      <c r="AS203">
        <v>-141051.22</v>
      </c>
      <c r="AT203">
        <v>34.926583999999998</v>
      </c>
      <c r="AU203">
        <v>33.913713064</v>
      </c>
      <c r="AV203">
        <v>13628734.3004643</v>
      </c>
      <c r="AW203">
        <v>118013942.16</v>
      </c>
      <c r="AX203">
        <v>8.6592004479813607</v>
      </c>
      <c r="AY203">
        <v>443198.24839999998</v>
      </c>
      <c r="AZ203">
        <v>1.04050249050138</v>
      </c>
      <c r="BA203">
        <v>492892.43902439001</v>
      </c>
      <c r="BB203">
        <v>1.15717021040956</v>
      </c>
      <c r="BC203">
        <v>25.107720472722001</v>
      </c>
    </row>
    <row r="204" spans="1:55" x14ac:dyDescent="0.2">
      <c r="A204" t="s">
        <v>455</v>
      </c>
      <c r="B204" t="s">
        <v>456</v>
      </c>
      <c r="C204">
        <v>1728</v>
      </c>
      <c r="D204">
        <v>380</v>
      </c>
      <c r="E204">
        <v>257</v>
      </c>
      <c r="F204">
        <v>365</v>
      </c>
      <c r="G204">
        <v>0</v>
      </c>
      <c r="H204">
        <v>0</v>
      </c>
      <c r="I204">
        <v>2730</v>
      </c>
      <c r="J204">
        <v>57256.78</v>
      </c>
      <c r="K204">
        <v>723148.16</v>
      </c>
      <c r="L204">
        <v>506203.71</v>
      </c>
      <c r="M204">
        <v>120021.28</v>
      </c>
      <c r="N204">
        <v>337526.63</v>
      </c>
      <c r="O204">
        <v>903478.32</v>
      </c>
      <c r="P204">
        <v>20935000</v>
      </c>
      <c r="Q204">
        <v>101124.47</v>
      </c>
      <c r="R204">
        <v>11244.42</v>
      </c>
      <c r="S204">
        <v>181051.28</v>
      </c>
      <c r="T204">
        <v>951622.49</v>
      </c>
      <c r="U204">
        <v>75</v>
      </c>
      <c r="V204">
        <v>19330.91</v>
      </c>
      <c r="W204">
        <v>6694.69</v>
      </c>
      <c r="X204">
        <v>10293.08</v>
      </c>
      <c r="Y204">
        <v>488712.22</v>
      </c>
      <c r="Z204">
        <v>101124.47</v>
      </c>
      <c r="AA204">
        <v>11244.42</v>
      </c>
      <c r="AB204">
        <v>181051.28</v>
      </c>
      <c r="AC204">
        <v>951622.49</v>
      </c>
      <c r="AD204">
        <v>1.19</v>
      </c>
      <c r="AE204">
        <v>0.78</v>
      </c>
      <c r="AF204">
        <v>1.2</v>
      </c>
      <c r="AG204">
        <v>3.71</v>
      </c>
      <c r="AH204">
        <v>29409.599999999999</v>
      </c>
      <c r="AI204">
        <v>8940.52</v>
      </c>
      <c r="AJ204">
        <v>16939.93</v>
      </c>
      <c r="AK204">
        <v>0</v>
      </c>
      <c r="AL204">
        <v>120455.38</v>
      </c>
      <c r="AM204">
        <v>17939.11</v>
      </c>
      <c r="AN204">
        <v>191344.36</v>
      </c>
      <c r="AO204">
        <v>1440334.71</v>
      </c>
      <c r="AP204">
        <v>457463.2</v>
      </c>
      <c r="AQ204">
        <v>104386.07</v>
      </c>
      <c r="AR204">
        <v>310293.62</v>
      </c>
      <c r="AS204">
        <v>414766.1</v>
      </c>
      <c r="AT204">
        <v>34.019399999999997</v>
      </c>
      <c r="AU204">
        <v>33.032837399999998</v>
      </c>
      <c r="AV204">
        <v>25416125.752307899</v>
      </c>
      <c r="AW204">
        <v>79247558.349999994</v>
      </c>
      <c r="AX204">
        <v>3.1180030789233699</v>
      </c>
      <c r="AY204">
        <v>739757.59759999998</v>
      </c>
      <c r="AZ204">
        <v>1.0229682359974399</v>
      </c>
      <c r="BA204">
        <v>852479.75609756098</v>
      </c>
      <c r="BB204">
        <v>1.1788452259873801</v>
      </c>
      <c r="BC204">
        <v>24.515215230059098</v>
      </c>
    </row>
    <row r="205" spans="1:55" x14ac:dyDescent="0.2">
      <c r="A205" t="s">
        <v>457</v>
      </c>
      <c r="B205" t="s">
        <v>458</v>
      </c>
      <c r="C205">
        <v>1013</v>
      </c>
      <c r="D205">
        <v>98</v>
      </c>
      <c r="E205">
        <v>300</v>
      </c>
      <c r="F205">
        <v>275</v>
      </c>
      <c r="G205">
        <v>183</v>
      </c>
      <c r="H205">
        <v>0</v>
      </c>
      <c r="I205">
        <v>1869</v>
      </c>
      <c r="J205">
        <v>33569.19</v>
      </c>
      <c r="K205">
        <v>418022.76</v>
      </c>
      <c r="L205">
        <v>292615.93</v>
      </c>
      <c r="M205">
        <v>69103.91</v>
      </c>
      <c r="N205">
        <v>192528.26</v>
      </c>
      <c r="O205">
        <v>500874.66</v>
      </c>
      <c r="P205">
        <v>23510000</v>
      </c>
      <c r="Q205">
        <v>108167.15</v>
      </c>
      <c r="R205">
        <v>11933.32</v>
      </c>
      <c r="S205">
        <v>84920.72</v>
      </c>
      <c r="T205">
        <v>886163.9</v>
      </c>
      <c r="U205">
        <v>67</v>
      </c>
      <c r="V205">
        <v>0</v>
      </c>
      <c r="W205">
        <v>0</v>
      </c>
      <c r="X205">
        <v>0</v>
      </c>
      <c r="Y205">
        <v>0</v>
      </c>
      <c r="Z205">
        <v>108167.15</v>
      </c>
      <c r="AA205">
        <v>11933.32</v>
      </c>
      <c r="AB205">
        <v>84920.72</v>
      </c>
      <c r="AC205">
        <v>886163.9</v>
      </c>
      <c r="AD205">
        <v>1.0900000000000001</v>
      </c>
      <c r="AE205">
        <v>0.47</v>
      </c>
      <c r="AF205">
        <v>0.59</v>
      </c>
      <c r="AG205">
        <v>2.31</v>
      </c>
      <c r="AH205">
        <v>0</v>
      </c>
      <c r="AI205">
        <v>0</v>
      </c>
      <c r="AJ205">
        <v>0</v>
      </c>
      <c r="AK205">
        <v>0</v>
      </c>
      <c r="AL205">
        <v>108167.15</v>
      </c>
      <c r="AM205">
        <v>11933.32</v>
      </c>
      <c r="AN205">
        <v>84920.72</v>
      </c>
      <c r="AO205">
        <v>886163.9</v>
      </c>
      <c r="AP205">
        <v>292615.929999999</v>
      </c>
      <c r="AQ205">
        <v>69103.91</v>
      </c>
      <c r="AR205">
        <v>192528.25999999899</v>
      </c>
      <c r="AS205">
        <v>500874.66</v>
      </c>
      <c r="AT205">
        <v>30.390664000000001</v>
      </c>
      <c r="AU205">
        <v>29.509334744</v>
      </c>
      <c r="AV205">
        <v>11966477.878713099</v>
      </c>
      <c r="AW205">
        <v>88994989.099999994</v>
      </c>
      <c r="AX205">
        <v>7.4370244947605402</v>
      </c>
      <c r="AY205">
        <v>433713.93479999999</v>
      </c>
      <c r="AZ205">
        <v>1.0375366518320599</v>
      </c>
      <c r="BA205">
        <v>490444.26829268201</v>
      </c>
      <c r="BB205">
        <v>1.17324776357316</v>
      </c>
      <c r="BC205">
        <v>24.179771788970601</v>
      </c>
    </row>
    <row r="206" spans="1:55" x14ac:dyDescent="0.2">
      <c r="A206" t="s">
        <v>459</v>
      </c>
      <c r="B206" t="s">
        <v>460</v>
      </c>
      <c r="C206">
        <v>0</v>
      </c>
      <c r="D206">
        <v>0</v>
      </c>
      <c r="E206">
        <v>0</v>
      </c>
      <c r="F206">
        <v>125</v>
      </c>
      <c r="G206">
        <v>0</v>
      </c>
      <c r="H206">
        <v>0</v>
      </c>
      <c r="I206">
        <v>125</v>
      </c>
      <c r="J206">
        <v>1454.39</v>
      </c>
      <c r="K206">
        <v>11895</v>
      </c>
      <c r="L206">
        <v>8326.5</v>
      </c>
      <c r="M206">
        <v>2013</v>
      </c>
      <c r="N206">
        <v>1</v>
      </c>
      <c r="O206">
        <v>0</v>
      </c>
      <c r="P206">
        <v>8316000</v>
      </c>
      <c r="Q206">
        <v>1334.74</v>
      </c>
      <c r="R206">
        <v>652.16999999999996</v>
      </c>
      <c r="S206">
        <v>4687.6000000000004</v>
      </c>
      <c r="T206">
        <v>15548.24</v>
      </c>
      <c r="U206">
        <v>1</v>
      </c>
      <c r="V206">
        <v>6795.36</v>
      </c>
      <c r="W206">
        <v>2463.3200000000002</v>
      </c>
      <c r="X206">
        <v>6563.7</v>
      </c>
      <c r="Y206">
        <v>124324.2</v>
      </c>
      <c r="Z206">
        <v>1334.74</v>
      </c>
      <c r="AA206">
        <v>652.16999999999996</v>
      </c>
      <c r="AB206">
        <v>4687.6000000000004</v>
      </c>
      <c r="AC206">
        <v>15548.24</v>
      </c>
      <c r="AD206">
        <v>0.56999999999999995</v>
      </c>
      <c r="AE206">
        <v>1.3</v>
      </c>
      <c r="AF206">
        <v>0.43</v>
      </c>
      <c r="AG206">
        <v>2.17</v>
      </c>
      <c r="AH206">
        <v>0</v>
      </c>
      <c r="AI206">
        <v>0</v>
      </c>
      <c r="AJ206">
        <v>0</v>
      </c>
      <c r="AK206">
        <v>0</v>
      </c>
      <c r="AL206">
        <v>8130.0999999999904</v>
      </c>
      <c r="AM206">
        <v>3115.49</v>
      </c>
      <c r="AN206">
        <v>11251.3</v>
      </c>
      <c r="AO206">
        <v>139872.44</v>
      </c>
      <c r="AP206">
        <v>1531.14</v>
      </c>
      <c r="AQ206">
        <v>-450.32</v>
      </c>
      <c r="AR206">
        <v>-6562.6999999999898</v>
      </c>
      <c r="AS206">
        <v>-124324.2</v>
      </c>
      <c r="AT206">
        <v>0.453592</v>
      </c>
      <c r="AU206">
        <v>0.44043783199999997</v>
      </c>
      <c r="AV206">
        <v>0</v>
      </c>
      <c r="AW206">
        <v>31479469.559999999</v>
      </c>
      <c r="AY206">
        <v>18790.718799999999</v>
      </c>
      <c r="AZ206">
        <v>1.5797157461118101</v>
      </c>
      <c r="BA206">
        <v>16692.073170731699</v>
      </c>
      <c r="BB206">
        <v>1.40328483991019</v>
      </c>
      <c r="BC206">
        <v>31.802661333333301</v>
      </c>
    </row>
    <row r="207" spans="1:55" x14ac:dyDescent="0.2">
      <c r="A207" t="s">
        <v>461</v>
      </c>
      <c r="B207" t="s">
        <v>462</v>
      </c>
      <c r="C207">
        <v>700</v>
      </c>
      <c r="D207">
        <v>95</v>
      </c>
      <c r="E207">
        <v>210</v>
      </c>
      <c r="F207">
        <v>130</v>
      </c>
      <c r="G207">
        <v>140</v>
      </c>
      <c r="H207">
        <v>0</v>
      </c>
      <c r="I207">
        <v>1275</v>
      </c>
      <c r="J207">
        <v>24412.28</v>
      </c>
      <c r="K207">
        <v>308478.24</v>
      </c>
      <c r="L207">
        <v>215934.77</v>
      </c>
      <c r="M207">
        <v>51101.47</v>
      </c>
      <c r="N207">
        <v>141341.14000000001</v>
      </c>
      <c r="O207">
        <v>352403.1</v>
      </c>
      <c r="P207">
        <v>35127000</v>
      </c>
      <c r="Q207">
        <v>125360.99</v>
      </c>
      <c r="R207">
        <v>29630.82</v>
      </c>
      <c r="S207">
        <v>228456.12</v>
      </c>
      <c r="T207">
        <v>1126622.32</v>
      </c>
      <c r="U207">
        <v>85</v>
      </c>
      <c r="V207">
        <v>17487.189999999999</v>
      </c>
      <c r="W207">
        <v>4842.66</v>
      </c>
      <c r="X207">
        <v>6169.36</v>
      </c>
      <c r="Y207">
        <v>49242.239999999998</v>
      </c>
      <c r="Z207">
        <v>44207.48</v>
      </c>
      <c r="AA207">
        <v>10168.49</v>
      </c>
      <c r="AB207">
        <v>80063.429999999993</v>
      </c>
      <c r="AC207">
        <v>393273.81</v>
      </c>
      <c r="AD207">
        <v>1.1399999999999999</v>
      </c>
      <c r="AE207">
        <v>1.21</v>
      </c>
      <c r="AF207">
        <v>1.07</v>
      </c>
      <c r="AG207">
        <v>2.29</v>
      </c>
      <c r="AH207">
        <v>115299.28</v>
      </c>
      <c r="AI207">
        <v>28541.55</v>
      </c>
      <c r="AJ207">
        <v>159840.4</v>
      </c>
      <c r="AK207">
        <v>733348.5</v>
      </c>
      <c r="AL207">
        <v>61694.67</v>
      </c>
      <c r="AM207">
        <v>15011.15</v>
      </c>
      <c r="AN207">
        <v>86232.79</v>
      </c>
      <c r="AO207">
        <v>442516.05</v>
      </c>
      <c r="AP207">
        <v>164301.81</v>
      </c>
      <c r="AQ207">
        <v>37179.589999999997</v>
      </c>
      <c r="AR207">
        <v>123724.07</v>
      </c>
      <c r="AS207">
        <v>303160.86999999901</v>
      </c>
      <c r="AT207">
        <v>38.555320000000002</v>
      </c>
      <c r="AU207">
        <v>37.437215719999998</v>
      </c>
      <c r="AV207">
        <v>10863344.071551001</v>
      </c>
      <c r="AW207">
        <v>132970097.06999999</v>
      </c>
      <c r="AX207">
        <v>12.2402545840578</v>
      </c>
      <c r="AY207">
        <v>315406.65759999998</v>
      </c>
      <c r="AZ207">
        <v>1.0224599881015899</v>
      </c>
      <c r="BA207">
        <v>341809.14634146303</v>
      </c>
      <c r="BB207">
        <v>1.10804945704262</v>
      </c>
      <c r="BC207">
        <v>25.1514883779369</v>
      </c>
    </row>
    <row r="208" spans="1:55" x14ac:dyDescent="0.2">
      <c r="A208" t="s">
        <v>463</v>
      </c>
      <c r="B208" t="s">
        <v>464</v>
      </c>
      <c r="C208">
        <v>1150</v>
      </c>
      <c r="D208">
        <v>173</v>
      </c>
      <c r="E208">
        <v>650</v>
      </c>
      <c r="F208">
        <v>625</v>
      </c>
      <c r="G208">
        <v>175</v>
      </c>
      <c r="H208">
        <v>50</v>
      </c>
      <c r="I208">
        <v>2823</v>
      </c>
      <c r="J208">
        <v>45791.95</v>
      </c>
      <c r="K208">
        <v>554799.72</v>
      </c>
      <c r="L208">
        <v>388359.8</v>
      </c>
      <c r="M208">
        <v>91650.96</v>
      </c>
      <c r="N208">
        <v>222354.24</v>
      </c>
      <c r="O208">
        <v>582851.34</v>
      </c>
      <c r="P208">
        <v>51825000</v>
      </c>
      <c r="Q208">
        <v>217291.53</v>
      </c>
      <c r="R208">
        <v>25881.55</v>
      </c>
      <c r="S208">
        <v>211003.87</v>
      </c>
      <c r="T208">
        <v>1490135.77</v>
      </c>
      <c r="U208">
        <v>72</v>
      </c>
      <c r="V208">
        <v>137392.6</v>
      </c>
      <c r="W208">
        <v>44573.33</v>
      </c>
      <c r="X208">
        <v>229999</v>
      </c>
      <c r="Y208">
        <v>5093407</v>
      </c>
      <c r="Z208">
        <v>217291.53</v>
      </c>
      <c r="AA208">
        <v>25881.55</v>
      </c>
      <c r="AB208">
        <v>211003.87</v>
      </c>
      <c r="AC208">
        <v>1490135.77</v>
      </c>
      <c r="AD208">
        <v>1.19</v>
      </c>
      <c r="AE208">
        <v>1.5</v>
      </c>
      <c r="AF208">
        <v>0.93</v>
      </c>
      <c r="AG208">
        <v>3.92</v>
      </c>
      <c r="AH208">
        <v>2859.9</v>
      </c>
      <c r="AI208">
        <v>684.24</v>
      </c>
      <c r="AJ208">
        <v>1389.86</v>
      </c>
      <c r="AK208">
        <v>31806.32</v>
      </c>
      <c r="AL208">
        <v>354684.13</v>
      </c>
      <c r="AM208">
        <v>70454.880000000005</v>
      </c>
      <c r="AN208">
        <v>441002.87</v>
      </c>
      <c r="AO208">
        <v>6583542.7699999996</v>
      </c>
      <c r="AP208">
        <v>248107.299999999</v>
      </c>
      <c r="AQ208">
        <v>46393.39</v>
      </c>
      <c r="AR208">
        <v>-9034.6200000000099</v>
      </c>
      <c r="AS208">
        <v>-4542361.9800000004</v>
      </c>
      <c r="AT208">
        <v>32.658624000000003</v>
      </c>
      <c r="AU208">
        <v>31.711523904</v>
      </c>
      <c r="AV208">
        <v>15313336.335622</v>
      </c>
      <c r="AW208">
        <v>196178873.25</v>
      </c>
      <c r="AX208">
        <v>12.8109818102568</v>
      </c>
      <c r="AY208">
        <v>591631.99399999995</v>
      </c>
      <c r="AZ208">
        <v>1.0663884149040299</v>
      </c>
      <c r="BA208">
        <v>663169.39024390199</v>
      </c>
      <c r="BB208">
        <v>1.19533115525707</v>
      </c>
      <c r="BC208">
        <v>24.464380464667698</v>
      </c>
    </row>
    <row r="209" spans="1:55" x14ac:dyDescent="0.2">
      <c r="A209" t="s">
        <v>465</v>
      </c>
      <c r="B209" t="s">
        <v>466</v>
      </c>
      <c r="C209">
        <v>0</v>
      </c>
      <c r="D209">
        <v>115</v>
      </c>
      <c r="E209">
        <v>0</v>
      </c>
      <c r="F209">
        <v>0</v>
      </c>
      <c r="G209">
        <v>0</v>
      </c>
      <c r="H209">
        <v>0</v>
      </c>
      <c r="I209">
        <v>115</v>
      </c>
      <c r="J209">
        <v>1615.37</v>
      </c>
      <c r="K209">
        <v>21045</v>
      </c>
      <c r="L209">
        <v>14731.5</v>
      </c>
      <c r="M209">
        <v>2777.94</v>
      </c>
      <c r="N209">
        <v>1</v>
      </c>
      <c r="O209">
        <v>26516.7</v>
      </c>
      <c r="P209">
        <v>14868000</v>
      </c>
      <c r="Q209">
        <v>12010.31</v>
      </c>
      <c r="R209">
        <v>4007.57</v>
      </c>
      <c r="S209">
        <v>97397.67</v>
      </c>
      <c r="T209">
        <v>384627.73</v>
      </c>
      <c r="U209">
        <v>1</v>
      </c>
      <c r="V209">
        <v>94020.12</v>
      </c>
      <c r="W209">
        <v>16638</v>
      </c>
      <c r="X209">
        <v>55812.6</v>
      </c>
      <c r="Y209">
        <v>67730.399999999994</v>
      </c>
      <c r="Z209">
        <v>12010.31</v>
      </c>
      <c r="AA209">
        <v>4007.57</v>
      </c>
      <c r="AB209">
        <v>97397.67</v>
      </c>
      <c r="AC209">
        <v>384627.73</v>
      </c>
      <c r="AD209">
        <v>1.02</v>
      </c>
      <c r="AE209">
        <v>0.87</v>
      </c>
      <c r="AF209">
        <v>1.07</v>
      </c>
      <c r="AG209">
        <v>1.01</v>
      </c>
      <c r="AH209">
        <v>0</v>
      </c>
      <c r="AI209">
        <v>0</v>
      </c>
      <c r="AJ209">
        <v>0</v>
      </c>
      <c r="AK209">
        <v>0</v>
      </c>
      <c r="AL209">
        <v>106030.43</v>
      </c>
      <c r="AM209">
        <v>20645.57</v>
      </c>
      <c r="AN209">
        <v>153210.26999999999</v>
      </c>
      <c r="AO209">
        <v>452358.13</v>
      </c>
      <c r="AP209">
        <v>-79288.62</v>
      </c>
      <c r="AQ209">
        <v>-13860.06</v>
      </c>
      <c r="AR209">
        <v>-55811.599999999897</v>
      </c>
      <c r="AS209">
        <v>-41213.699999999997</v>
      </c>
      <c r="AT209">
        <v>0.453592</v>
      </c>
      <c r="AU209">
        <v>0.44043783199999997</v>
      </c>
      <c r="AV209">
        <v>18487.3779981999</v>
      </c>
      <c r="AW209">
        <v>56281475.880000003</v>
      </c>
      <c r="AX209">
        <v>3044.3189880944601</v>
      </c>
      <c r="AY209">
        <v>20870.580399999999</v>
      </c>
      <c r="AZ209">
        <v>0.99171206462342598</v>
      </c>
      <c r="BA209">
        <v>41975</v>
      </c>
      <c r="BB209">
        <v>1.9945355191256799</v>
      </c>
      <c r="BC209">
        <v>14.0466956521739</v>
      </c>
    </row>
    <row r="210" spans="1:55" x14ac:dyDescent="0.2">
      <c r="A210" t="s">
        <v>467</v>
      </c>
      <c r="B210" t="s">
        <v>468</v>
      </c>
      <c r="C210">
        <v>350</v>
      </c>
      <c r="D210">
        <v>50</v>
      </c>
      <c r="E210">
        <v>120</v>
      </c>
      <c r="F210">
        <v>120</v>
      </c>
      <c r="G210">
        <v>60</v>
      </c>
      <c r="H210">
        <v>50</v>
      </c>
      <c r="I210">
        <v>750</v>
      </c>
      <c r="J210">
        <v>12431.88</v>
      </c>
      <c r="K210">
        <v>154252.37</v>
      </c>
      <c r="L210">
        <v>107976.66</v>
      </c>
      <c r="M210">
        <v>25199.98</v>
      </c>
      <c r="N210">
        <v>66750.710000000006</v>
      </c>
      <c r="O210">
        <v>176778</v>
      </c>
      <c r="P210">
        <v>2079000</v>
      </c>
      <c r="Q210">
        <v>15260.81</v>
      </c>
      <c r="R210">
        <v>1466.24</v>
      </c>
      <c r="S210">
        <v>15126.75</v>
      </c>
      <c r="T210">
        <v>87228.45</v>
      </c>
      <c r="U210">
        <v>68</v>
      </c>
      <c r="V210">
        <v>0</v>
      </c>
      <c r="W210">
        <v>0</v>
      </c>
      <c r="X210">
        <v>0</v>
      </c>
      <c r="Y210">
        <v>0</v>
      </c>
      <c r="Z210">
        <v>15260.81</v>
      </c>
      <c r="AA210">
        <v>1466.24</v>
      </c>
      <c r="AB210">
        <v>15126.75</v>
      </c>
      <c r="AC210">
        <v>87228.45</v>
      </c>
      <c r="AD210">
        <v>1.54</v>
      </c>
      <c r="AE210">
        <v>0.8</v>
      </c>
      <c r="AF210">
        <v>0.78</v>
      </c>
      <c r="AG210">
        <v>2.4500000000000002</v>
      </c>
      <c r="AH210">
        <v>45474.05</v>
      </c>
      <c r="AI210">
        <v>19995.21</v>
      </c>
      <c r="AJ210">
        <v>57957.120000000003</v>
      </c>
      <c r="AK210">
        <v>561738.23999999999</v>
      </c>
      <c r="AL210">
        <v>15260.81</v>
      </c>
      <c r="AM210">
        <v>1466.24</v>
      </c>
      <c r="AN210">
        <v>15126.75</v>
      </c>
      <c r="AO210">
        <v>87228.45</v>
      </c>
      <c r="AP210">
        <v>62502.61</v>
      </c>
      <c r="AQ210">
        <v>5204.7700000000004</v>
      </c>
      <c r="AR210">
        <v>8793.59</v>
      </c>
      <c r="AS210">
        <v>-384960.24</v>
      </c>
      <c r="AT210">
        <v>30.844256000000001</v>
      </c>
      <c r="AU210">
        <v>29.949772576000001</v>
      </c>
      <c r="AV210">
        <v>4372666.7960959999</v>
      </c>
      <c r="AW210">
        <v>7869867.3899999997</v>
      </c>
      <c r="AX210">
        <v>1.7997866649767</v>
      </c>
      <c r="AY210">
        <v>160619.88959999999</v>
      </c>
      <c r="AZ210">
        <v>1.0412798817937099</v>
      </c>
      <c r="BA210">
        <v>182945.12195121899</v>
      </c>
      <c r="BB210">
        <v>1.1860117413510001</v>
      </c>
      <c r="BC210">
        <v>23.543052193995301</v>
      </c>
    </row>
    <row r="211" spans="1:55" x14ac:dyDescent="0.2">
      <c r="A211" t="s">
        <v>469</v>
      </c>
      <c r="B211" t="s">
        <v>470</v>
      </c>
      <c r="C211">
        <v>1627</v>
      </c>
      <c r="D211">
        <v>251</v>
      </c>
      <c r="E211">
        <v>0</v>
      </c>
      <c r="F211">
        <v>0</v>
      </c>
      <c r="G211">
        <v>100</v>
      </c>
      <c r="H211">
        <v>0</v>
      </c>
      <c r="I211">
        <v>1978</v>
      </c>
      <c r="J211">
        <v>46837.52</v>
      </c>
      <c r="K211">
        <v>610732.42000000004</v>
      </c>
      <c r="L211">
        <v>427512.69</v>
      </c>
      <c r="M211">
        <v>101357.66</v>
      </c>
      <c r="N211">
        <v>317798.51</v>
      </c>
      <c r="O211">
        <v>826047.36</v>
      </c>
      <c r="P211">
        <v>39960000</v>
      </c>
      <c r="Q211">
        <v>251430.51</v>
      </c>
      <c r="R211">
        <v>54011.61</v>
      </c>
      <c r="S211">
        <v>267087.40000000002</v>
      </c>
      <c r="T211">
        <v>1347493.85</v>
      </c>
      <c r="U211">
        <v>75</v>
      </c>
      <c r="V211">
        <v>623.07000000000005</v>
      </c>
      <c r="W211">
        <v>391.23</v>
      </c>
      <c r="X211">
        <v>579.6</v>
      </c>
      <c r="Y211">
        <v>0</v>
      </c>
      <c r="Z211">
        <v>251430.51</v>
      </c>
      <c r="AA211">
        <v>54011.61</v>
      </c>
      <c r="AB211">
        <v>267087.40000000002</v>
      </c>
      <c r="AC211">
        <v>1347493.85</v>
      </c>
      <c r="AD211">
        <v>1.2</v>
      </c>
      <c r="AE211">
        <v>1.2</v>
      </c>
      <c r="AF211">
        <v>0.81</v>
      </c>
      <c r="AG211">
        <v>1.4</v>
      </c>
      <c r="AH211">
        <v>55247.22</v>
      </c>
      <c r="AI211">
        <v>13648.74</v>
      </c>
      <c r="AJ211">
        <v>48074.76</v>
      </c>
      <c r="AK211">
        <v>76086.600000000006</v>
      </c>
      <c r="AL211">
        <v>252053.58</v>
      </c>
      <c r="AM211">
        <v>54402.84</v>
      </c>
      <c r="AN211">
        <v>267667</v>
      </c>
      <c r="AO211">
        <v>1347493.85</v>
      </c>
      <c r="AP211">
        <v>371642.39999999898</v>
      </c>
      <c r="AQ211">
        <v>87317.69</v>
      </c>
      <c r="AR211">
        <v>269144.15000000002</v>
      </c>
      <c r="AS211">
        <v>749960.75999999896</v>
      </c>
      <c r="AT211">
        <v>34.019399999999997</v>
      </c>
      <c r="AU211">
        <v>33.032837399999998</v>
      </c>
      <c r="AV211">
        <v>22643019.052577998</v>
      </c>
      <c r="AW211">
        <v>151264983.59999999</v>
      </c>
      <c r="AX211">
        <v>6.6804246928714104</v>
      </c>
      <c r="AY211">
        <v>605140.758399999</v>
      </c>
      <c r="AZ211">
        <v>0.99084433474155398</v>
      </c>
      <c r="BA211">
        <v>689921.21951219498</v>
      </c>
      <c r="BB211">
        <v>1.1296620204183601</v>
      </c>
      <c r="BC211">
        <v>24.463531809727598</v>
      </c>
    </row>
    <row r="212" spans="1:55" x14ac:dyDescent="0.2">
      <c r="A212" t="s">
        <v>471</v>
      </c>
      <c r="B212" t="s">
        <v>472</v>
      </c>
      <c r="C212">
        <v>812</v>
      </c>
      <c r="D212">
        <v>65</v>
      </c>
      <c r="E212">
        <v>0</v>
      </c>
      <c r="F212">
        <v>0</v>
      </c>
      <c r="G212">
        <v>0</v>
      </c>
      <c r="H212">
        <v>0</v>
      </c>
      <c r="I212">
        <v>877</v>
      </c>
      <c r="J212">
        <v>20863.87</v>
      </c>
      <c r="K212">
        <v>272475.8</v>
      </c>
      <c r="L212">
        <v>190733.06</v>
      </c>
      <c r="M212">
        <v>45502.76</v>
      </c>
      <c r="N212">
        <v>150582.07999999999</v>
      </c>
      <c r="O212">
        <v>398365.38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60</v>
      </c>
      <c r="V212">
        <v>80162.8</v>
      </c>
      <c r="W212">
        <v>13103.2</v>
      </c>
      <c r="X212">
        <v>53808.2</v>
      </c>
      <c r="Y212">
        <v>352716</v>
      </c>
      <c r="Z212">
        <v>0</v>
      </c>
      <c r="AA212">
        <v>0</v>
      </c>
      <c r="AB212">
        <v>0</v>
      </c>
      <c r="AC212">
        <v>0</v>
      </c>
      <c r="AD212">
        <v>1.25</v>
      </c>
      <c r="AE212">
        <v>0.98</v>
      </c>
      <c r="AF212">
        <v>0.59</v>
      </c>
      <c r="AG212">
        <v>1.21</v>
      </c>
      <c r="AH212">
        <v>0</v>
      </c>
      <c r="AI212">
        <v>0</v>
      </c>
      <c r="AJ212">
        <v>0</v>
      </c>
      <c r="AK212">
        <v>0</v>
      </c>
      <c r="AL212">
        <v>80162.8</v>
      </c>
      <c r="AM212">
        <v>13103.2</v>
      </c>
      <c r="AN212">
        <v>53808.2</v>
      </c>
      <c r="AO212">
        <v>352716</v>
      </c>
      <c r="AP212">
        <v>110570.26</v>
      </c>
      <c r="AQ212">
        <v>32399.56</v>
      </c>
      <c r="AR212">
        <v>96773.879999999903</v>
      </c>
      <c r="AS212">
        <v>45649.38</v>
      </c>
      <c r="AT212">
        <v>27.215519999999898</v>
      </c>
      <c r="AU212">
        <v>26.4262699199999</v>
      </c>
      <c r="AV212">
        <v>8459181.1327415891</v>
      </c>
      <c r="AW212">
        <v>0</v>
      </c>
      <c r="AY212">
        <v>269561.20039999997</v>
      </c>
      <c r="AZ212">
        <v>0.98930327170339505</v>
      </c>
      <c r="BA212">
        <v>320105</v>
      </c>
      <c r="BB212">
        <v>1.174801578709</v>
      </c>
      <c r="BC212">
        <v>23.790045610034198</v>
      </c>
    </row>
    <row r="213" spans="1:55" x14ac:dyDescent="0.2">
      <c r="A213" t="s">
        <v>473</v>
      </c>
      <c r="B213" t="s">
        <v>474</v>
      </c>
      <c r="C213">
        <v>1400</v>
      </c>
      <c r="D213">
        <v>600</v>
      </c>
      <c r="E213">
        <v>1200</v>
      </c>
      <c r="F213">
        <v>1200</v>
      </c>
      <c r="G213">
        <v>600</v>
      </c>
      <c r="H213">
        <v>0</v>
      </c>
      <c r="I213">
        <v>5000</v>
      </c>
      <c r="J213">
        <v>70973.570000000007</v>
      </c>
      <c r="K213">
        <v>850517.18</v>
      </c>
      <c r="L213">
        <v>595362.03</v>
      </c>
      <c r="M213">
        <v>137004.41</v>
      </c>
      <c r="N213">
        <v>273459.07</v>
      </c>
      <c r="O213">
        <v>799344</v>
      </c>
      <c r="P213">
        <v>40812440</v>
      </c>
      <c r="Q213">
        <v>133661.03</v>
      </c>
      <c r="R213">
        <v>11414.53</v>
      </c>
      <c r="S213">
        <v>210859.35</v>
      </c>
      <c r="T213">
        <v>1448331.36</v>
      </c>
      <c r="U213">
        <v>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566840.47</v>
      </c>
      <c r="AI213">
        <v>95901.68</v>
      </c>
      <c r="AJ213">
        <v>625006.26</v>
      </c>
      <c r="AK213">
        <v>8644215.8399999999</v>
      </c>
      <c r="AL213">
        <v>0</v>
      </c>
      <c r="AM213">
        <v>0</v>
      </c>
      <c r="AN213">
        <v>0</v>
      </c>
      <c r="AO213">
        <v>0</v>
      </c>
      <c r="AP213">
        <v>162182.59</v>
      </c>
      <c r="AQ213">
        <v>52517.26</v>
      </c>
      <c r="AR213">
        <v>-140687.83999999901</v>
      </c>
      <c r="AS213">
        <v>-6396540.4799999902</v>
      </c>
      <c r="AT213">
        <v>34.019399999999997</v>
      </c>
      <c r="AU213">
        <v>33.032837399999998</v>
      </c>
      <c r="AV213">
        <v>24113971.3019999</v>
      </c>
      <c r="AW213">
        <v>154491818.50040001</v>
      </c>
      <c r="AX213">
        <v>6.4067347748558703</v>
      </c>
      <c r="AY213">
        <v>916978.52439999999</v>
      </c>
      <c r="AZ213">
        <v>1.0781422715058999</v>
      </c>
      <c r="BA213">
        <v>1077195.1219512101</v>
      </c>
      <c r="BB213">
        <v>1.2665177697541801</v>
      </c>
      <c r="BC213">
        <v>22.912727322834598</v>
      </c>
    </row>
    <row r="214" spans="1:55" x14ac:dyDescent="0.2">
      <c r="A214" t="s">
        <v>475</v>
      </c>
      <c r="B214" t="s">
        <v>476</v>
      </c>
      <c r="C214">
        <v>672</v>
      </c>
      <c r="D214">
        <v>0</v>
      </c>
      <c r="E214">
        <v>360</v>
      </c>
      <c r="F214">
        <v>200</v>
      </c>
      <c r="G214">
        <v>0</v>
      </c>
      <c r="H214">
        <v>0</v>
      </c>
      <c r="I214">
        <v>1232</v>
      </c>
      <c r="J214">
        <v>24239.33</v>
      </c>
      <c r="K214">
        <v>293758.24</v>
      </c>
      <c r="L214">
        <v>205630.77</v>
      </c>
      <c r="M214">
        <v>49939.17</v>
      </c>
      <c r="N214">
        <v>135244.78</v>
      </c>
      <c r="O214">
        <v>317278.08000000002</v>
      </c>
      <c r="P214">
        <v>18675000</v>
      </c>
      <c r="Q214">
        <v>65082.99</v>
      </c>
      <c r="R214">
        <v>8831.2800000000007</v>
      </c>
      <c r="S214">
        <v>92407.69</v>
      </c>
      <c r="T214">
        <v>882757.88</v>
      </c>
      <c r="U214">
        <v>84</v>
      </c>
      <c r="V214">
        <v>63434.34</v>
      </c>
      <c r="W214">
        <v>23302.560000000001</v>
      </c>
      <c r="X214">
        <v>51187.29</v>
      </c>
      <c r="Y214">
        <v>1246863.98</v>
      </c>
      <c r="Z214">
        <v>65082.99</v>
      </c>
      <c r="AA214">
        <v>8831.2800000000007</v>
      </c>
      <c r="AB214">
        <v>92407.69</v>
      </c>
      <c r="AC214">
        <v>882757.88</v>
      </c>
      <c r="AD214">
        <v>0.86</v>
      </c>
      <c r="AE214">
        <v>0.63</v>
      </c>
      <c r="AF214">
        <v>0.46</v>
      </c>
      <c r="AG214">
        <v>1.46</v>
      </c>
      <c r="AH214">
        <v>0</v>
      </c>
      <c r="AI214">
        <v>0</v>
      </c>
      <c r="AJ214">
        <v>0</v>
      </c>
      <c r="AK214">
        <v>0</v>
      </c>
      <c r="AL214">
        <v>128517.329999999</v>
      </c>
      <c r="AM214">
        <v>32133.84</v>
      </c>
      <c r="AN214">
        <v>143594.98000000001</v>
      </c>
      <c r="AO214">
        <v>2129621.86</v>
      </c>
      <c r="AP214">
        <v>142196.43</v>
      </c>
      <c r="AQ214">
        <v>26636.609999999899</v>
      </c>
      <c r="AR214">
        <v>84057.489999999903</v>
      </c>
      <c r="AS214">
        <v>-929585.89999999898</v>
      </c>
      <c r="AT214">
        <v>38.101728000000001</v>
      </c>
      <c r="AU214">
        <v>36.996777887999997</v>
      </c>
      <c r="AV214">
        <v>9074569.6803686395</v>
      </c>
      <c r="AW214">
        <v>70692531.75</v>
      </c>
      <c r="AX214">
        <v>7.7901800570149096</v>
      </c>
      <c r="AY214">
        <v>313172.14360000001</v>
      </c>
      <c r="AZ214">
        <v>1.06608803075617</v>
      </c>
      <c r="BA214">
        <v>320060.48780487798</v>
      </c>
      <c r="BB214">
        <v>1.08953705538567</v>
      </c>
      <c r="BC214">
        <v>27.6427606252781</v>
      </c>
    </row>
    <row r="215" spans="1:55" x14ac:dyDescent="0.2">
      <c r="A215" t="s">
        <v>477</v>
      </c>
      <c r="B215" t="s">
        <v>478</v>
      </c>
      <c r="C215">
        <v>495</v>
      </c>
      <c r="D215">
        <v>70</v>
      </c>
      <c r="E215">
        <v>175</v>
      </c>
      <c r="F215">
        <v>195</v>
      </c>
      <c r="G215">
        <v>50</v>
      </c>
      <c r="H215">
        <v>0</v>
      </c>
      <c r="I215">
        <v>985</v>
      </c>
      <c r="J215">
        <v>18389.580000000002</v>
      </c>
      <c r="K215">
        <v>224665.57</v>
      </c>
      <c r="L215">
        <v>157265.9</v>
      </c>
      <c r="M215">
        <v>37413.040000000001</v>
      </c>
      <c r="N215">
        <v>98317.85</v>
      </c>
      <c r="O215">
        <v>249849.9</v>
      </c>
      <c r="P215">
        <v>2743415</v>
      </c>
      <c r="Q215">
        <v>17810.830000000002</v>
      </c>
      <c r="R215">
        <v>1871.11</v>
      </c>
      <c r="S215">
        <v>9932.2900000000009</v>
      </c>
      <c r="T215">
        <v>115463.45</v>
      </c>
      <c r="U215">
        <v>80</v>
      </c>
      <c r="V215">
        <v>0</v>
      </c>
      <c r="W215">
        <v>0</v>
      </c>
      <c r="X215">
        <v>0</v>
      </c>
      <c r="Y215">
        <v>0</v>
      </c>
      <c r="Z215">
        <v>17810.830000000002</v>
      </c>
      <c r="AA215">
        <v>1871.11</v>
      </c>
      <c r="AB215">
        <v>9932.2900000000009</v>
      </c>
      <c r="AC215">
        <v>115463.45</v>
      </c>
      <c r="AD215">
        <v>1.1599999999999999</v>
      </c>
      <c r="AE215">
        <v>0.66</v>
      </c>
      <c r="AF215">
        <v>0.45</v>
      </c>
      <c r="AG215">
        <v>1.83</v>
      </c>
      <c r="AH215">
        <v>96592.01</v>
      </c>
      <c r="AI215">
        <v>29017.35</v>
      </c>
      <c r="AJ215">
        <v>103349.48</v>
      </c>
      <c r="AK215">
        <v>0</v>
      </c>
      <c r="AL215">
        <v>17810.830000000002</v>
      </c>
      <c r="AM215">
        <v>1871.11</v>
      </c>
      <c r="AN215">
        <v>9932.2900000000009</v>
      </c>
      <c r="AO215">
        <v>115463.45</v>
      </c>
      <c r="AP215">
        <v>60673.889999999898</v>
      </c>
      <c r="AQ215">
        <v>8395.69</v>
      </c>
      <c r="AR215">
        <v>-5031.6299999999901</v>
      </c>
      <c r="AS215">
        <v>249849.899999999</v>
      </c>
      <c r="AT215">
        <v>36.28736</v>
      </c>
      <c r="AU215">
        <v>35.235026560000001</v>
      </c>
      <c r="AV215">
        <v>7266343.3523359997</v>
      </c>
      <c r="AW215">
        <v>10384950.57515</v>
      </c>
      <c r="AX215">
        <v>1.42918522723144</v>
      </c>
      <c r="AY215">
        <v>237593.37359999999</v>
      </c>
      <c r="AZ215">
        <v>1.0575424334044501</v>
      </c>
      <c r="BA215">
        <v>257859.146341463</v>
      </c>
      <c r="BB215">
        <v>1.1477466099565801</v>
      </c>
      <c r="BC215">
        <v>25.588758866451698</v>
      </c>
    </row>
    <row r="216" spans="1:55" x14ac:dyDescent="0.2">
      <c r="A216" t="s">
        <v>479</v>
      </c>
      <c r="B216" t="s">
        <v>480</v>
      </c>
      <c r="C216">
        <v>1509</v>
      </c>
      <c r="D216">
        <v>100</v>
      </c>
      <c r="E216">
        <v>140</v>
      </c>
      <c r="F216">
        <v>235</v>
      </c>
      <c r="G216">
        <v>405</v>
      </c>
      <c r="H216">
        <v>0</v>
      </c>
      <c r="I216">
        <v>2389</v>
      </c>
      <c r="J216">
        <v>46318.04</v>
      </c>
      <c r="K216">
        <v>593821.53</v>
      </c>
      <c r="L216">
        <v>415675.07</v>
      </c>
      <c r="M216">
        <v>97969.18</v>
      </c>
      <c r="N216">
        <v>294749.82</v>
      </c>
      <c r="O216">
        <v>735517.26</v>
      </c>
      <c r="P216">
        <v>30965383</v>
      </c>
      <c r="Q216">
        <v>121484.44</v>
      </c>
      <c r="R216">
        <v>13738.79</v>
      </c>
      <c r="S216">
        <v>245228.96</v>
      </c>
      <c r="T216">
        <v>1121389.68</v>
      </c>
      <c r="U216">
        <v>75</v>
      </c>
      <c r="V216">
        <v>15161.02</v>
      </c>
      <c r="W216">
        <v>5212.62</v>
      </c>
      <c r="X216">
        <v>14575.26</v>
      </c>
      <c r="Y216">
        <v>82351.5</v>
      </c>
      <c r="Z216">
        <v>121484.44</v>
      </c>
      <c r="AA216">
        <v>13738.79</v>
      </c>
      <c r="AB216">
        <v>245228.96</v>
      </c>
      <c r="AC216">
        <v>1121389.68</v>
      </c>
      <c r="AD216">
        <v>1.25</v>
      </c>
      <c r="AE216">
        <v>0.82</v>
      </c>
      <c r="AF216">
        <v>1.8</v>
      </c>
      <c r="AG216">
        <v>2.81</v>
      </c>
      <c r="AH216">
        <v>67334.78</v>
      </c>
      <c r="AI216">
        <v>33002.9</v>
      </c>
      <c r="AJ216">
        <v>75308.639999999999</v>
      </c>
      <c r="AK216">
        <v>0</v>
      </c>
      <c r="AL216">
        <v>136645.46</v>
      </c>
      <c r="AM216">
        <v>18951.41</v>
      </c>
      <c r="AN216">
        <v>259804.22</v>
      </c>
      <c r="AO216">
        <v>1203741.18</v>
      </c>
      <c r="AP216">
        <v>333179.27</v>
      </c>
      <c r="AQ216">
        <v>59753.659999999902</v>
      </c>
      <c r="AR216">
        <v>204865.92000000001</v>
      </c>
      <c r="AS216">
        <v>653165.76</v>
      </c>
      <c r="AT216">
        <v>34.019399999999997</v>
      </c>
      <c r="AU216">
        <v>33.032837399999998</v>
      </c>
      <c r="AV216">
        <v>19399689.912459001</v>
      </c>
      <c r="AW216">
        <v>117216670.46202999</v>
      </c>
      <c r="AX216">
        <v>6.0421929933400804</v>
      </c>
      <c r="AY216">
        <v>598429.07680000004</v>
      </c>
      <c r="AZ216">
        <v>1.00775914406471</v>
      </c>
      <c r="BA216">
        <v>655388.65853658505</v>
      </c>
      <c r="BB216">
        <v>1.1036795155214101</v>
      </c>
      <c r="BC216">
        <v>24.450419601127798</v>
      </c>
    </row>
    <row r="217" spans="1:55" x14ac:dyDescent="0.2">
      <c r="A217" t="s">
        <v>481</v>
      </c>
      <c r="B217" t="s">
        <v>482</v>
      </c>
      <c r="C217">
        <v>0</v>
      </c>
      <c r="D217">
        <v>0</v>
      </c>
      <c r="E217">
        <v>400</v>
      </c>
      <c r="F217">
        <v>300</v>
      </c>
      <c r="G217">
        <v>0</v>
      </c>
      <c r="H217">
        <v>0</v>
      </c>
      <c r="I217">
        <v>700</v>
      </c>
      <c r="J217">
        <v>7271.66</v>
      </c>
      <c r="K217">
        <v>66612</v>
      </c>
      <c r="L217">
        <v>46628.4</v>
      </c>
      <c r="M217">
        <v>11272.8</v>
      </c>
      <c r="N217">
        <v>1</v>
      </c>
      <c r="O217">
        <v>0</v>
      </c>
      <c r="P217">
        <v>4170000</v>
      </c>
      <c r="Q217">
        <v>17155.73</v>
      </c>
      <c r="R217">
        <v>1016.12</v>
      </c>
      <c r="S217">
        <v>35146.639999999999</v>
      </c>
      <c r="T217">
        <v>283261.01</v>
      </c>
      <c r="U217">
        <v>1</v>
      </c>
      <c r="V217">
        <v>49634.16</v>
      </c>
      <c r="W217">
        <v>14856.58</v>
      </c>
      <c r="X217">
        <v>62777.279999999999</v>
      </c>
      <c r="Y217">
        <v>1171800</v>
      </c>
      <c r="Z217">
        <v>17155.73</v>
      </c>
      <c r="AA217">
        <v>1016.12</v>
      </c>
      <c r="AB217">
        <v>35146.639999999999</v>
      </c>
      <c r="AC217">
        <v>283261.01</v>
      </c>
      <c r="AD217">
        <v>1.01</v>
      </c>
      <c r="AE217">
        <v>1.21</v>
      </c>
      <c r="AF217">
        <v>1.02</v>
      </c>
      <c r="AG217">
        <v>3.56</v>
      </c>
      <c r="AH217">
        <v>0</v>
      </c>
      <c r="AI217">
        <v>0</v>
      </c>
      <c r="AJ217">
        <v>0</v>
      </c>
      <c r="AK217">
        <v>0</v>
      </c>
      <c r="AL217">
        <v>66789.89</v>
      </c>
      <c r="AM217">
        <v>15872.7</v>
      </c>
      <c r="AN217">
        <v>97923.92</v>
      </c>
      <c r="AO217">
        <v>1455061.01</v>
      </c>
      <c r="AP217">
        <v>-3005.7599999999902</v>
      </c>
      <c r="AQ217">
        <v>-3583.78</v>
      </c>
      <c r="AR217">
        <v>-62776.28</v>
      </c>
      <c r="AS217">
        <v>-1171800</v>
      </c>
      <c r="AT217">
        <v>0.453592</v>
      </c>
      <c r="AU217">
        <v>0.44043783199999997</v>
      </c>
      <c r="AV217">
        <v>0</v>
      </c>
      <c r="AW217">
        <v>15785159.699999999</v>
      </c>
      <c r="AY217">
        <v>93949.847200000004</v>
      </c>
      <c r="AZ217">
        <v>1.4104042394763701</v>
      </c>
      <c r="BA217">
        <v>93475.609756097503</v>
      </c>
      <c r="BB217">
        <v>1.40328483991019</v>
      </c>
      <c r="BC217">
        <v>28.394100952380899</v>
      </c>
    </row>
    <row r="218" spans="1:55" x14ac:dyDescent="0.2">
      <c r="A218" t="s">
        <v>483</v>
      </c>
      <c r="B218" t="s">
        <v>484</v>
      </c>
      <c r="C218">
        <v>1926</v>
      </c>
      <c r="D218">
        <v>286</v>
      </c>
      <c r="E218">
        <v>112</v>
      </c>
      <c r="F218">
        <v>0</v>
      </c>
      <c r="G218">
        <v>250</v>
      </c>
      <c r="H218">
        <v>0</v>
      </c>
      <c r="I218">
        <v>2574</v>
      </c>
      <c r="J218">
        <v>51763.16</v>
      </c>
      <c r="K218">
        <v>679065.69</v>
      </c>
      <c r="L218">
        <v>475345.98</v>
      </c>
      <c r="M218">
        <v>111098.32</v>
      </c>
      <c r="N218">
        <v>350824.58</v>
      </c>
      <c r="O218">
        <v>975287.52</v>
      </c>
      <c r="P218">
        <v>16968000</v>
      </c>
      <c r="Q218">
        <v>127090.48</v>
      </c>
      <c r="R218">
        <v>5149.54</v>
      </c>
      <c r="S218">
        <v>148811.04</v>
      </c>
      <c r="T218">
        <v>873491.18</v>
      </c>
      <c r="U218">
        <v>55</v>
      </c>
      <c r="V218">
        <v>155837.70000000001</v>
      </c>
      <c r="W218">
        <v>99442.73</v>
      </c>
      <c r="X218">
        <v>404172.02</v>
      </c>
      <c r="Y218">
        <v>8092491.6799999997</v>
      </c>
      <c r="Z218">
        <v>127090.48</v>
      </c>
      <c r="AA218">
        <v>5149.54</v>
      </c>
      <c r="AB218">
        <v>148811.04</v>
      </c>
      <c r="AC218">
        <v>873491.18</v>
      </c>
      <c r="AD218">
        <v>1.3</v>
      </c>
      <c r="AE218">
        <v>2.36</v>
      </c>
      <c r="AF218">
        <v>1.8</v>
      </c>
      <c r="AG218">
        <v>7.05</v>
      </c>
      <c r="AH218">
        <v>0</v>
      </c>
      <c r="AI218">
        <v>0</v>
      </c>
      <c r="AJ218">
        <v>0</v>
      </c>
      <c r="AK218">
        <v>0</v>
      </c>
      <c r="AL218">
        <v>282928.18</v>
      </c>
      <c r="AM218">
        <v>104592.269999999</v>
      </c>
      <c r="AN218">
        <v>552983.06000000006</v>
      </c>
      <c r="AO218">
        <v>8965982.8599999994</v>
      </c>
      <c r="AP218">
        <v>319508.27999999898</v>
      </c>
      <c r="AQ218">
        <v>11655.59</v>
      </c>
      <c r="AR218">
        <v>-53347.44</v>
      </c>
      <c r="AS218">
        <v>-7117204.1599999899</v>
      </c>
      <c r="AT218">
        <v>24.947559999999999</v>
      </c>
      <c r="AU218">
        <v>24.22408076</v>
      </c>
      <c r="AV218">
        <v>19558038.3240088</v>
      </c>
      <c r="AW218">
        <v>64230836.880000003</v>
      </c>
      <c r="AX218">
        <v>3.28411448100867</v>
      </c>
      <c r="AY218">
        <v>668780.02720000001</v>
      </c>
      <c r="AZ218">
        <v>0.98485321383266999</v>
      </c>
      <c r="BA218">
        <v>833464.14634146297</v>
      </c>
      <c r="BB218">
        <v>1.22736895504389</v>
      </c>
      <c r="BC218">
        <v>22.079124029878599</v>
      </c>
    </row>
    <row r="219" spans="1:55" x14ac:dyDescent="0.2">
      <c r="A219" t="s">
        <v>485</v>
      </c>
      <c r="B219" t="s">
        <v>486</v>
      </c>
      <c r="C219">
        <v>3220</v>
      </c>
      <c r="D219">
        <v>430</v>
      </c>
      <c r="E219">
        <v>878</v>
      </c>
      <c r="F219">
        <v>1319</v>
      </c>
      <c r="G219">
        <v>340</v>
      </c>
      <c r="H219">
        <v>324</v>
      </c>
      <c r="I219">
        <v>6511</v>
      </c>
      <c r="J219">
        <v>116942.67</v>
      </c>
      <c r="K219">
        <v>1454207.48</v>
      </c>
      <c r="L219">
        <v>1017945.24</v>
      </c>
      <c r="M219">
        <v>240608.98</v>
      </c>
      <c r="N219">
        <v>639562.55000000005</v>
      </c>
      <c r="O219">
        <v>1619440.2</v>
      </c>
      <c r="P219">
        <v>156437580</v>
      </c>
      <c r="Q219">
        <v>621008.76</v>
      </c>
      <c r="R219">
        <v>111043</v>
      </c>
      <c r="S219">
        <v>484513.06</v>
      </c>
      <c r="T219">
        <v>3360547.84</v>
      </c>
      <c r="U219">
        <v>80</v>
      </c>
      <c r="V219">
        <v>140955.54999999999</v>
      </c>
      <c r="W219">
        <v>29635.49</v>
      </c>
      <c r="X219">
        <v>77817.25</v>
      </c>
      <c r="Y219">
        <v>1178461.69</v>
      </c>
      <c r="Z219">
        <v>621008.76</v>
      </c>
      <c r="AA219">
        <v>111043</v>
      </c>
      <c r="AB219">
        <v>484513.06</v>
      </c>
      <c r="AC219">
        <v>3360547.84</v>
      </c>
      <c r="AD219">
        <v>1.1299999999999999</v>
      </c>
      <c r="AE219">
        <v>1.2</v>
      </c>
      <c r="AF219">
        <v>0.72</v>
      </c>
      <c r="AG219">
        <v>3.16</v>
      </c>
      <c r="AH219">
        <v>0</v>
      </c>
      <c r="AI219">
        <v>0</v>
      </c>
      <c r="AJ219">
        <v>0</v>
      </c>
      <c r="AK219">
        <v>0</v>
      </c>
      <c r="AL219">
        <v>761964.31</v>
      </c>
      <c r="AM219">
        <v>140678.49</v>
      </c>
      <c r="AN219">
        <v>562330.31000000006</v>
      </c>
      <c r="AO219">
        <v>4539009.52999999</v>
      </c>
      <c r="AP219">
        <v>876989.69</v>
      </c>
      <c r="AQ219">
        <v>210973.49</v>
      </c>
      <c r="AR219">
        <v>561745.30000000005</v>
      </c>
      <c r="AS219">
        <v>440978.51</v>
      </c>
      <c r="AT219">
        <v>36.28736</v>
      </c>
      <c r="AU219">
        <v>35.235026560000001</v>
      </c>
      <c r="AV219">
        <v>46941864.134559996</v>
      </c>
      <c r="AW219">
        <v>592180379.70780003</v>
      </c>
      <c r="AX219">
        <v>12.6151866915702</v>
      </c>
      <c r="AY219">
        <v>1510899.2963999901</v>
      </c>
      <c r="AZ219">
        <v>1.03898468215828</v>
      </c>
      <c r="BA219">
        <v>1655185.97560975</v>
      </c>
      <c r="BB219">
        <v>1.13820482866018</v>
      </c>
      <c r="BC219">
        <v>24.898862565886802</v>
      </c>
    </row>
    <row r="220" spans="1:55" x14ac:dyDescent="0.2">
      <c r="A220" t="s">
        <v>487</v>
      </c>
      <c r="B220" t="s">
        <v>488</v>
      </c>
      <c r="C220">
        <v>475</v>
      </c>
      <c r="D220">
        <v>100</v>
      </c>
      <c r="E220">
        <v>105</v>
      </c>
      <c r="F220">
        <v>100</v>
      </c>
      <c r="G220">
        <v>100</v>
      </c>
      <c r="H220">
        <v>86</v>
      </c>
      <c r="I220">
        <v>966</v>
      </c>
      <c r="J220">
        <v>16272.36</v>
      </c>
      <c r="K220">
        <v>206349.58</v>
      </c>
      <c r="L220">
        <v>144444.71</v>
      </c>
      <c r="M220">
        <v>33299.85</v>
      </c>
      <c r="N220">
        <v>90903.18</v>
      </c>
      <c r="O220">
        <v>247324.5</v>
      </c>
      <c r="P220">
        <v>12977080</v>
      </c>
      <c r="Q220">
        <v>30894.73</v>
      </c>
      <c r="R220">
        <v>36736.15</v>
      </c>
      <c r="S220">
        <v>41523.08</v>
      </c>
      <c r="T220">
        <v>417902.92</v>
      </c>
      <c r="U220">
        <v>69</v>
      </c>
      <c r="V220">
        <v>43103.67</v>
      </c>
      <c r="W220">
        <v>11770.98</v>
      </c>
      <c r="X220">
        <v>61872.82</v>
      </c>
      <c r="Y220">
        <v>0</v>
      </c>
      <c r="Z220">
        <v>30894.73</v>
      </c>
      <c r="AA220">
        <v>36736.15</v>
      </c>
      <c r="AB220">
        <v>41523.08</v>
      </c>
      <c r="AC220">
        <v>417902.92</v>
      </c>
      <c r="AD220">
        <v>0.95</v>
      </c>
      <c r="AE220">
        <v>2.62</v>
      </c>
      <c r="AF220">
        <v>0.81</v>
      </c>
      <c r="AG220">
        <v>0.89</v>
      </c>
      <c r="AH220">
        <v>0</v>
      </c>
      <c r="AI220">
        <v>0</v>
      </c>
      <c r="AJ220">
        <v>0</v>
      </c>
      <c r="AK220">
        <v>0</v>
      </c>
      <c r="AL220">
        <v>73998.399999999994</v>
      </c>
      <c r="AM220">
        <v>48507.13</v>
      </c>
      <c r="AN220">
        <v>103395.9</v>
      </c>
      <c r="AO220">
        <v>417902.92</v>
      </c>
      <c r="AP220">
        <v>101341.04</v>
      </c>
      <c r="AQ220">
        <v>21528.869999999901</v>
      </c>
      <c r="AR220">
        <v>29030.36</v>
      </c>
      <c r="AS220">
        <v>247324.49999999901</v>
      </c>
      <c r="AT220">
        <v>31.297847999999998</v>
      </c>
      <c r="AU220">
        <v>30.390210407999898</v>
      </c>
      <c r="AV220">
        <v>6378145.4093789998</v>
      </c>
      <c r="AW220">
        <v>49123568.402800001</v>
      </c>
      <c r="AX220">
        <v>7.70185771095219</v>
      </c>
      <c r="AY220">
        <v>210238.89120000001</v>
      </c>
      <c r="AZ220">
        <v>1.01884816630108</v>
      </c>
      <c r="BA220">
        <v>245529.26829268201</v>
      </c>
      <c r="BB220">
        <v>1.18987045329911</v>
      </c>
      <c r="BC220">
        <v>22.661914402173899</v>
      </c>
    </row>
    <row r="221" spans="1:55" x14ac:dyDescent="0.2">
      <c r="A221" t="s">
        <v>489</v>
      </c>
      <c r="B221" t="s">
        <v>490</v>
      </c>
      <c r="C221">
        <v>0</v>
      </c>
      <c r="D221">
        <v>0</v>
      </c>
      <c r="E221">
        <v>100</v>
      </c>
      <c r="F221">
        <v>40</v>
      </c>
      <c r="G221">
        <v>0</v>
      </c>
      <c r="H221">
        <v>0</v>
      </c>
      <c r="I221">
        <v>140</v>
      </c>
      <c r="J221">
        <v>1315.98</v>
      </c>
      <c r="K221">
        <v>13322.4</v>
      </c>
      <c r="L221">
        <v>9325.68</v>
      </c>
      <c r="M221">
        <v>2254.56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0.31</v>
      </c>
      <c r="AE221">
        <v>0.46</v>
      </c>
      <c r="AF221">
        <v>0.1</v>
      </c>
      <c r="AG221">
        <v>3.45</v>
      </c>
      <c r="AH221">
        <v>5050.72</v>
      </c>
      <c r="AI221">
        <v>1930.8</v>
      </c>
      <c r="AJ221">
        <v>11036.72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4274.96</v>
      </c>
      <c r="AQ221">
        <v>323.76</v>
      </c>
      <c r="AR221">
        <v>-11035.72</v>
      </c>
      <c r="AS221">
        <v>0</v>
      </c>
      <c r="AT221">
        <v>0.453592</v>
      </c>
      <c r="AU221">
        <v>0.44043783199999997</v>
      </c>
      <c r="AV221">
        <v>0</v>
      </c>
      <c r="AW221">
        <v>0</v>
      </c>
      <c r="AY221">
        <v>17002.461599999999</v>
      </c>
      <c r="AZ221">
        <v>1.2762311295262101</v>
      </c>
      <c r="BA221">
        <v>18695.121951219498</v>
      </c>
      <c r="BB221">
        <v>1.40328483991018</v>
      </c>
      <c r="BC221">
        <v>25.6929428571428</v>
      </c>
    </row>
    <row r="222" spans="1:55" x14ac:dyDescent="0.2">
      <c r="A222" t="s">
        <v>491</v>
      </c>
      <c r="B222" t="s">
        <v>492</v>
      </c>
      <c r="C222">
        <v>0</v>
      </c>
      <c r="D222">
        <v>0</v>
      </c>
      <c r="E222">
        <v>125</v>
      </c>
      <c r="F222">
        <v>35</v>
      </c>
      <c r="G222">
        <v>0</v>
      </c>
      <c r="H222">
        <v>0</v>
      </c>
      <c r="I222">
        <v>160</v>
      </c>
      <c r="J222">
        <v>1595.62</v>
      </c>
      <c r="K222">
        <v>15225.6</v>
      </c>
      <c r="L222">
        <v>10657.92</v>
      </c>
      <c r="M222">
        <v>2576.64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1.26</v>
      </c>
      <c r="AE222">
        <v>0</v>
      </c>
      <c r="AF222">
        <v>0</v>
      </c>
      <c r="AG222">
        <v>0.76</v>
      </c>
      <c r="AH222">
        <v>24286.32</v>
      </c>
      <c r="AI222">
        <v>8732.16</v>
      </c>
      <c r="AJ222">
        <v>45025.2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-13628.4</v>
      </c>
      <c r="AQ222">
        <v>-6155.52</v>
      </c>
      <c r="AR222">
        <v>-45024.2</v>
      </c>
      <c r="AS222">
        <v>0</v>
      </c>
      <c r="AT222">
        <v>0.453592</v>
      </c>
      <c r="AU222">
        <v>0.44043783199999997</v>
      </c>
      <c r="AV222">
        <v>0</v>
      </c>
      <c r="AW222">
        <v>0</v>
      </c>
      <c r="AY222">
        <v>20615.410399999899</v>
      </c>
      <c r="AZ222">
        <v>1.3539965846994499</v>
      </c>
      <c r="BA222">
        <v>21365.8536585365</v>
      </c>
      <c r="BB222">
        <v>1.40328483991018</v>
      </c>
      <c r="BC222">
        <v>27.2585083333333</v>
      </c>
    </row>
    <row r="223" spans="1:55" x14ac:dyDescent="0.2">
      <c r="A223" t="s">
        <v>493</v>
      </c>
      <c r="B223" t="s">
        <v>494</v>
      </c>
      <c r="C223">
        <v>795</v>
      </c>
      <c r="D223">
        <v>130</v>
      </c>
      <c r="E223">
        <v>300</v>
      </c>
      <c r="F223">
        <v>200</v>
      </c>
      <c r="G223">
        <v>100</v>
      </c>
      <c r="H223">
        <v>75</v>
      </c>
      <c r="I223">
        <v>1600</v>
      </c>
      <c r="J223">
        <v>27336.49</v>
      </c>
      <c r="K223">
        <v>340355.24</v>
      </c>
      <c r="L223">
        <v>238248.67</v>
      </c>
      <c r="M223">
        <v>55738.9</v>
      </c>
      <c r="N223">
        <v>149524.48000000001</v>
      </c>
      <c r="O223">
        <v>405326.7</v>
      </c>
      <c r="P223">
        <v>6510000</v>
      </c>
      <c r="Q223">
        <v>19508.189999999999</v>
      </c>
      <c r="R223">
        <v>4035.5</v>
      </c>
      <c r="S223">
        <v>36074.35</v>
      </c>
      <c r="T223">
        <v>255594</v>
      </c>
      <c r="U223">
        <v>64</v>
      </c>
      <c r="V223">
        <v>21143.85</v>
      </c>
      <c r="W223">
        <v>2964.62</v>
      </c>
      <c r="X223">
        <v>8455.24</v>
      </c>
      <c r="Y223">
        <v>0</v>
      </c>
      <c r="Z223">
        <v>19508.189999999999</v>
      </c>
      <c r="AA223">
        <v>4035.5</v>
      </c>
      <c r="AB223">
        <v>36074.35</v>
      </c>
      <c r="AC223">
        <v>255594</v>
      </c>
      <c r="AD223">
        <v>0.61</v>
      </c>
      <c r="AE223">
        <v>0.52</v>
      </c>
      <c r="AF223">
        <v>0.52</v>
      </c>
      <c r="AG223">
        <v>0.74</v>
      </c>
      <c r="AH223">
        <v>4722.55</v>
      </c>
      <c r="AI223">
        <v>1186.05</v>
      </c>
      <c r="AJ223">
        <v>5047</v>
      </c>
      <c r="AK223">
        <v>0</v>
      </c>
      <c r="AL223">
        <v>40652.039999999899</v>
      </c>
      <c r="AM223">
        <v>7000.12</v>
      </c>
      <c r="AN223">
        <v>44529.59</v>
      </c>
      <c r="AO223">
        <v>255594</v>
      </c>
      <c r="AP223">
        <v>212382.27</v>
      </c>
      <c r="AQ223">
        <v>51588.229999999901</v>
      </c>
      <c r="AR223">
        <v>136022.24</v>
      </c>
      <c r="AS223">
        <v>405326.69999999902</v>
      </c>
      <c r="AT223">
        <v>29.029888</v>
      </c>
      <c r="AU223">
        <v>28.188021247999998</v>
      </c>
      <c r="AV223">
        <v>9516980.6738559995</v>
      </c>
      <c r="AW223">
        <v>24643019.100000001</v>
      </c>
      <c r="AX223">
        <v>2.5893736621422998</v>
      </c>
      <c r="AY223">
        <v>353187.45079999999</v>
      </c>
      <c r="AZ223">
        <v>1.03770240411165</v>
      </c>
      <c r="BA223">
        <v>412182.92682926799</v>
      </c>
      <c r="BB223">
        <v>1.2110374055920701</v>
      </c>
      <c r="BC223">
        <v>23.325621019770999</v>
      </c>
    </row>
    <row r="224" spans="1:55" x14ac:dyDescent="0.2">
      <c r="A224" t="s">
        <v>495</v>
      </c>
      <c r="B224" t="s">
        <v>496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0.7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0.7</v>
      </c>
      <c r="AE224">
        <v>0</v>
      </c>
      <c r="AF224">
        <v>0</v>
      </c>
      <c r="AG224">
        <v>1.67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0.7</v>
      </c>
      <c r="AQ224">
        <v>1</v>
      </c>
      <c r="AR224">
        <v>1</v>
      </c>
      <c r="AS224">
        <v>0</v>
      </c>
      <c r="AT224">
        <v>0.453592</v>
      </c>
      <c r="AU224">
        <v>0.44043783199999997</v>
      </c>
      <c r="AV224">
        <v>0</v>
      </c>
      <c r="AW224">
        <v>0</v>
      </c>
    </row>
    <row r="225" spans="1:55" x14ac:dyDescent="0.2">
      <c r="A225" t="s">
        <v>497</v>
      </c>
      <c r="B225" t="s">
        <v>498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1</v>
      </c>
      <c r="L225">
        <v>0.7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0.7</v>
      </c>
      <c r="AQ225">
        <v>1</v>
      </c>
      <c r="AR225">
        <v>1</v>
      </c>
      <c r="AS225">
        <v>0</v>
      </c>
      <c r="AT225">
        <v>0.453592</v>
      </c>
      <c r="AU225">
        <v>0.44043783199999997</v>
      </c>
      <c r="AV225">
        <v>0</v>
      </c>
      <c r="AW225">
        <v>0</v>
      </c>
    </row>
    <row r="226" spans="1:55" x14ac:dyDescent="0.2">
      <c r="A226" t="s">
        <v>499</v>
      </c>
      <c r="B226" t="s">
        <v>500</v>
      </c>
      <c r="C226">
        <v>3115</v>
      </c>
      <c r="D226">
        <v>528</v>
      </c>
      <c r="E226">
        <v>180</v>
      </c>
      <c r="F226">
        <v>0</v>
      </c>
      <c r="G226">
        <v>110</v>
      </c>
      <c r="H226">
        <v>0</v>
      </c>
      <c r="I226">
        <v>3933</v>
      </c>
      <c r="J226">
        <v>96940.44</v>
      </c>
      <c r="K226">
        <v>1258026.26</v>
      </c>
      <c r="L226">
        <v>880618.38</v>
      </c>
      <c r="M226">
        <v>210143.67</v>
      </c>
      <c r="N226">
        <v>637176.71</v>
      </c>
      <c r="O226">
        <v>1592462.34</v>
      </c>
      <c r="P226">
        <v>38937500</v>
      </c>
      <c r="Q226">
        <v>113947.1</v>
      </c>
      <c r="R226">
        <v>23960.25</v>
      </c>
      <c r="S226">
        <v>190670.09</v>
      </c>
      <c r="T226">
        <v>1285807.4099999999</v>
      </c>
      <c r="U226">
        <v>89</v>
      </c>
      <c r="V226">
        <v>0</v>
      </c>
      <c r="W226">
        <v>0</v>
      </c>
      <c r="X226">
        <v>0</v>
      </c>
      <c r="Y226">
        <v>0</v>
      </c>
      <c r="Z226">
        <v>113947.1</v>
      </c>
      <c r="AA226">
        <v>23960.25</v>
      </c>
      <c r="AB226">
        <v>190670.09</v>
      </c>
      <c r="AC226">
        <v>1285807.4099999999</v>
      </c>
      <c r="AD226">
        <v>1.08</v>
      </c>
      <c r="AE226">
        <v>1.05</v>
      </c>
      <c r="AF226">
        <v>1.28</v>
      </c>
      <c r="AG226">
        <v>3.09</v>
      </c>
      <c r="AH226">
        <v>370260</v>
      </c>
      <c r="AI226">
        <v>101640</v>
      </c>
      <c r="AJ226">
        <v>413820</v>
      </c>
      <c r="AK226">
        <v>0</v>
      </c>
      <c r="AL226">
        <v>113947.1</v>
      </c>
      <c r="AM226">
        <v>23960.25</v>
      </c>
      <c r="AN226">
        <v>190670.09</v>
      </c>
      <c r="AO226">
        <v>1285807.4099999999</v>
      </c>
      <c r="AP226">
        <v>510358.38</v>
      </c>
      <c r="AQ226">
        <v>108503.67</v>
      </c>
      <c r="AR226">
        <v>223356.709999999</v>
      </c>
      <c r="AS226">
        <v>1592462.34</v>
      </c>
      <c r="AT226">
        <v>40.369687999999996</v>
      </c>
      <c r="AU226">
        <v>39.198967047999901</v>
      </c>
      <c r="AV226">
        <v>52122670.488890298</v>
      </c>
      <c r="AW226">
        <v>147394401.875</v>
      </c>
      <c r="AX226">
        <v>2.82783672617879</v>
      </c>
      <c r="AY226">
        <v>1252470.4848</v>
      </c>
      <c r="AZ226">
        <v>0.99558373670196598</v>
      </c>
      <c r="BA226">
        <v>1358627.9268292601</v>
      </c>
      <c r="BB226">
        <v>1.0799678591997499</v>
      </c>
      <c r="BC226">
        <v>25.8570064991249</v>
      </c>
    </row>
    <row r="227" spans="1:55" x14ac:dyDescent="0.2">
      <c r="A227" t="s">
        <v>501</v>
      </c>
      <c r="B227" t="s">
        <v>502</v>
      </c>
      <c r="C227">
        <v>350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350</v>
      </c>
      <c r="J227">
        <v>9209.82</v>
      </c>
      <c r="K227">
        <v>120397.29</v>
      </c>
      <c r="L227">
        <v>84278.1</v>
      </c>
      <c r="M227">
        <v>20421.79</v>
      </c>
      <c r="N227">
        <v>68364.77</v>
      </c>
      <c r="O227">
        <v>165249</v>
      </c>
      <c r="P227">
        <v>2036250</v>
      </c>
      <c r="Q227">
        <v>5534.3</v>
      </c>
      <c r="R227">
        <v>781.08</v>
      </c>
      <c r="S227">
        <v>9400.24</v>
      </c>
      <c r="T227">
        <v>73355.05</v>
      </c>
      <c r="U227">
        <v>75</v>
      </c>
      <c r="V227">
        <v>2661.12</v>
      </c>
      <c r="W227">
        <v>676.17</v>
      </c>
      <c r="X227">
        <v>2261.9499999999998</v>
      </c>
      <c r="Y227">
        <v>37739.519999999997</v>
      </c>
      <c r="Z227">
        <v>5534.3</v>
      </c>
      <c r="AA227">
        <v>781.08</v>
      </c>
      <c r="AB227">
        <v>9400.24</v>
      </c>
      <c r="AC227">
        <v>73355.05</v>
      </c>
      <c r="AD227">
        <v>0.95</v>
      </c>
      <c r="AE227">
        <v>1.38</v>
      </c>
      <c r="AF227">
        <v>1.44</v>
      </c>
      <c r="AG227">
        <v>3.28</v>
      </c>
      <c r="AH227">
        <v>56767.25</v>
      </c>
      <c r="AI227">
        <v>10425.68</v>
      </c>
      <c r="AJ227">
        <v>40727.75</v>
      </c>
      <c r="AK227">
        <v>500055</v>
      </c>
      <c r="AL227">
        <v>8195.42</v>
      </c>
      <c r="AM227">
        <v>1457.25</v>
      </c>
      <c r="AN227">
        <v>11662.1899999999</v>
      </c>
      <c r="AO227">
        <v>111094.57</v>
      </c>
      <c r="AP227">
        <v>24849.73</v>
      </c>
      <c r="AQ227">
        <v>9319.94</v>
      </c>
      <c r="AR227">
        <v>25375.07</v>
      </c>
      <c r="AS227">
        <v>-372545.52</v>
      </c>
      <c r="AT227">
        <v>34.019399999999997</v>
      </c>
      <c r="AU227">
        <v>33.032837399999998</v>
      </c>
      <c r="AV227">
        <v>4219944.9778500004</v>
      </c>
      <c r="AW227">
        <v>7708041.1124999998</v>
      </c>
      <c r="AX227">
        <v>1.8265738423033</v>
      </c>
      <c r="AY227">
        <v>118990.8744</v>
      </c>
      <c r="AZ227">
        <v>0.98831854437919597</v>
      </c>
      <c r="BA227">
        <v>127750</v>
      </c>
      <c r="BB227">
        <v>1.06107039452466</v>
      </c>
      <c r="BC227">
        <v>26.3137714285714</v>
      </c>
    </row>
    <row r="228" spans="1:55" x14ac:dyDescent="0.2">
      <c r="A228" t="s">
        <v>503</v>
      </c>
      <c r="B228" t="s">
        <v>504</v>
      </c>
      <c r="C228">
        <v>300</v>
      </c>
      <c r="D228">
        <v>0</v>
      </c>
      <c r="E228">
        <v>725</v>
      </c>
      <c r="F228">
        <v>700</v>
      </c>
      <c r="G228">
        <v>0</v>
      </c>
      <c r="H228">
        <v>0</v>
      </c>
      <c r="I228">
        <v>1725</v>
      </c>
      <c r="J228">
        <v>21900.71</v>
      </c>
      <c r="K228">
        <v>238800.68</v>
      </c>
      <c r="L228">
        <v>167160.48000000001</v>
      </c>
      <c r="M228">
        <v>40452.589999999997</v>
      </c>
      <c r="N228">
        <v>58598.37</v>
      </c>
      <c r="O228">
        <v>141642</v>
      </c>
      <c r="P228">
        <v>7557000</v>
      </c>
      <c r="Q228">
        <v>19092.72</v>
      </c>
      <c r="R228">
        <v>3428.68</v>
      </c>
      <c r="S228">
        <v>55892.14</v>
      </c>
      <c r="T228">
        <v>282076.86</v>
      </c>
      <c r="U228">
        <v>75</v>
      </c>
      <c r="V228">
        <v>16599.349999999999</v>
      </c>
      <c r="W228">
        <v>7369.33</v>
      </c>
      <c r="X228">
        <v>19044.21</v>
      </c>
      <c r="Y228">
        <v>318262.14</v>
      </c>
      <c r="Z228">
        <v>19092.72</v>
      </c>
      <c r="AA228">
        <v>3428.68</v>
      </c>
      <c r="AB228">
        <v>55892.14</v>
      </c>
      <c r="AC228">
        <v>282076.86</v>
      </c>
      <c r="AD228">
        <v>1.1399999999999999</v>
      </c>
      <c r="AE228">
        <v>1.88</v>
      </c>
      <c r="AF228">
        <v>1.99</v>
      </c>
      <c r="AG228">
        <v>4.99</v>
      </c>
      <c r="AH228">
        <v>37188.199999999997</v>
      </c>
      <c r="AI228">
        <v>10859.52</v>
      </c>
      <c r="AJ228">
        <v>44541</v>
      </c>
      <c r="AK228">
        <v>678720</v>
      </c>
      <c r="AL228">
        <v>35692.07</v>
      </c>
      <c r="AM228">
        <v>10798.01</v>
      </c>
      <c r="AN228">
        <v>74936.350000000006</v>
      </c>
      <c r="AO228">
        <v>600339</v>
      </c>
      <c r="AP228">
        <v>113372.93</v>
      </c>
      <c r="AQ228">
        <v>22223.7399999999</v>
      </c>
      <c r="AR228">
        <v>-4986.8399999999901</v>
      </c>
      <c r="AS228">
        <v>-855340.14</v>
      </c>
      <c r="AT228">
        <v>34.019399999999997</v>
      </c>
      <c r="AU228">
        <v>33.032837399999998</v>
      </c>
      <c r="AV228">
        <v>3617095.69529999</v>
      </c>
      <c r="AW228">
        <v>28606343.370000001</v>
      </c>
      <c r="AX228">
        <v>7.9086498615921696</v>
      </c>
      <c r="AY228">
        <v>282957.17319999897</v>
      </c>
      <c r="AZ228">
        <v>1.1849094114807299</v>
      </c>
      <c r="BA228">
        <v>299789.63414634101</v>
      </c>
      <c r="BB228">
        <v>1.2553969031676999</v>
      </c>
      <c r="BC228">
        <v>26.664561544172201</v>
      </c>
    </row>
    <row r="229" spans="1:55" x14ac:dyDescent="0.2">
      <c r="A229" t="s">
        <v>505</v>
      </c>
      <c r="B229" t="s">
        <v>506</v>
      </c>
      <c r="C229">
        <v>2170</v>
      </c>
      <c r="D229">
        <v>330</v>
      </c>
      <c r="E229">
        <v>950</v>
      </c>
      <c r="F229">
        <v>675</v>
      </c>
      <c r="G229">
        <v>0</v>
      </c>
      <c r="H229">
        <v>0</v>
      </c>
      <c r="I229">
        <v>4125</v>
      </c>
      <c r="J229">
        <v>80637.83</v>
      </c>
      <c r="K229">
        <v>998216.13</v>
      </c>
      <c r="L229">
        <v>698751.29</v>
      </c>
      <c r="M229">
        <v>167508.85</v>
      </c>
      <c r="N229">
        <v>439587.12</v>
      </c>
      <c r="O229">
        <v>1100635.2</v>
      </c>
      <c r="P229">
        <v>38391500</v>
      </c>
      <c r="Q229">
        <v>226952.24</v>
      </c>
      <c r="R229">
        <v>67174.100000000006</v>
      </c>
      <c r="S229">
        <v>187702.73</v>
      </c>
      <c r="T229">
        <v>738759.32</v>
      </c>
      <c r="U229">
        <v>86</v>
      </c>
      <c r="V229">
        <v>200449.01</v>
      </c>
      <c r="W229">
        <v>44008.45</v>
      </c>
      <c r="X229">
        <v>148452.84</v>
      </c>
      <c r="Y229">
        <v>2280293.73</v>
      </c>
      <c r="Z229">
        <v>226952.24</v>
      </c>
      <c r="AA229">
        <v>67174.100000000006</v>
      </c>
      <c r="AB229">
        <v>187702.73</v>
      </c>
      <c r="AC229">
        <v>738759.32</v>
      </c>
      <c r="AD229">
        <v>1.28</v>
      </c>
      <c r="AE229">
        <v>1.56</v>
      </c>
      <c r="AF229">
        <v>0.77</v>
      </c>
      <c r="AG229">
        <v>2.0099999999999998</v>
      </c>
      <c r="AH229">
        <v>0</v>
      </c>
      <c r="AI229">
        <v>0</v>
      </c>
      <c r="AJ229">
        <v>0</v>
      </c>
      <c r="AK229">
        <v>0</v>
      </c>
      <c r="AL229">
        <v>427401.25</v>
      </c>
      <c r="AM229">
        <v>111182.55</v>
      </c>
      <c r="AN229">
        <v>336155.57</v>
      </c>
      <c r="AO229">
        <v>3019053.05</v>
      </c>
      <c r="AP229">
        <v>498302.28</v>
      </c>
      <c r="AQ229">
        <v>123500.4</v>
      </c>
      <c r="AR229">
        <v>291134.27999999898</v>
      </c>
      <c r="AS229">
        <v>-1179658.52999999</v>
      </c>
      <c r="AT229">
        <v>39.008912000000002</v>
      </c>
      <c r="AU229">
        <v>37.877653551999998</v>
      </c>
      <c r="AV229">
        <v>34563358.8662</v>
      </c>
      <c r="AW229">
        <v>145327568.01499999</v>
      </c>
      <c r="AX229">
        <v>4.2046714434666201</v>
      </c>
      <c r="AY229">
        <v>1041840.7635999999</v>
      </c>
      <c r="AZ229">
        <v>1.04370259334519</v>
      </c>
      <c r="BA229">
        <v>1129496.9512195101</v>
      </c>
      <c r="BB229">
        <v>1.13151542764542</v>
      </c>
      <c r="BC229">
        <v>26.058333241379302</v>
      </c>
    </row>
    <row r="230" spans="1:55" x14ac:dyDescent="0.2">
      <c r="A230" t="s">
        <v>507</v>
      </c>
      <c r="B230" t="s">
        <v>508</v>
      </c>
      <c r="C230">
        <v>2800</v>
      </c>
      <c r="D230">
        <v>400</v>
      </c>
      <c r="E230">
        <v>1000</v>
      </c>
      <c r="F230">
        <v>1000</v>
      </c>
      <c r="G230">
        <v>800</v>
      </c>
      <c r="H230">
        <v>800</v>
      </c>
      <c r="I230">
        <v>6800</v>
      </c>
      <c r="J230">
        <v>104083.64</v>
      </c>
      <c r="K230">
        <v>1295757.58</v>
      </c>
      <c r="L230">
        <v>907030.31</v>
      </c>
      <c r="M230">
        <v>208665.67</v>
      </c>
      <c r="N230">
        <v>541384.23</v>
      </c>
      <c r="O230">
        <v>1414224</v>
      </c>
      <c r="P230">
        <v>36793594</v>
      </c>
      <c r="Q230">
        <v>268100.37</v>
      </c>
      <c r="R230">
        <v>19400.759999999998</v>
      </c>
      <c r="S230">
        <v>293218.59999999998</v>
      </c>
      <c r="T230">
        <v>1734745.27</v>
      </c>
      <c r="U230">
        <v>72</v>
      </c>
      <c r="V230">
        <v>661399.27</v>
      </c>
      <c r="W230">
        <v>454200.45</v>
      </c>
      <c r="X230">
        <v>3082175.91</v>
      </c>
      <c r="Y230">
        <v>17402933.300000001</v>
      </c>
      <c r="Z230">
        <v>268100.37</v>
      </c>
      <c r="AA230">
        <v>19400.759999999998</v>
      </c>
      <c r="AB230">
        <v>293218.59999999998</v>
      </c>
      <c r="AC230">
        <v>1734745.27</v>
      </c>
      <c r="AD230">
        <v>1.29</v>
      </c>
      <c r="AE230">
        <v>3.51</v>
      </c>
      <c r="AF230">
        <v>3.3</v>
      </c>
      <c r="AG230">
        <v>4.8899999999999997</v>
      </c>
      <c r="AH230">
        <v>0</v>
      </c>
      <c r="AI230">
        <v>0</v>
      </c>
      <c r="AJ230">
        <v>0</v>
      </c>
      <c r="AK230">
        <v>0</v>
      </c>
      <c r="AL230">
        <v>929499.64</v>
      </c>
      <c r="AM230">
        <v>473601.21</v>
      </c>
      <c r="AN230">
        <v>3375394.51</v>
      </c>
      <c r="AO230">
        <v>19137678.57</v>
      </c>
      <c r="AP230">
        <v>245631.04</v>
      </c>
      <c r="AQ230">
        <v>-245534.78</v>
      </c>
      <c r="AR230">
        <v>-2540791.6800000002</v>
      </c>
      <c r="AS230">
        <v>-15988709.300000001</v>
      </c>
      <c r="AT230">
        <v>32.658624000000003</v>
      </c>
      <c r="AU230">
        <v>31.711523904</v>
      </c>
      <c r="AV230">
        <v>37039059.919872001</v>
      </c>
      <c r="AW230">
        <v>139278838.66354001</v>
      </c>
      <c r="AX230">
        <v>3.76032326319423</v>
      </c>
      <c r="AY230">
        <v>1344760.6288000001</v>
      </c>
      <c r="AZ230">
        <v>1.03781806840751</v>
      </c>
      <c r="BA230">
        <v>1506292.6829268199</v>
      </c>
      <c r="BB230">
        <v>1.1624803174424201</v>
      </c>
      <c r="BC230">
        <v>23.042274514038802</v>
      </c>
    </row>
    <row r="231" spans="1:55" x14ac:dyDescent="0.2">
      <c r="A231" t="s">
        <v>509</v>
      </c>
      <c r="B231" t="s">
        <v>510</v>
      </c>
      <c r="C231">
        <v>525</v>
      </c>
      <c r="D231">
        <v>75</v>
      </c>
      <c r="E231">
        <v>75</v>
      </c>
      <c r="F231">
        <v>0</v>
      </c>
      <c r="G231">
        <v>125</v>
      </c>
      <c r="H231">
        <v>5</v>
      </c>
      <c r="I231">
        <v>805</v>
      </c>
      <c r="J231">
        <v>16276.02</v>
      </c>
      <c r="K231">
        <v>209734.74</v>
      </c>
      <c r="L231">
        <v>146814.32</v>
      </c>
      <c r="M231">
        <v>34420.300000000003</v>
      </c>
      <c r="N231">
        <v>103238.89</v>
      </c>
      <c r="O231">
        <v>265167</v>
      </c>
      <c r="P231">
        <v>9371000</v>
      </c>
      <c r="Q231">
        <v>69807.259999999995</v>
      </c>
      <c r="R231">
        <v>7080.8</v>
      </c>
      <c r="S231">
        <v>116196.54</v>
      </c>
      <c r="T231">
        <v>614920.43999999994</v>
      </c>
      <c r="U231">
        <v>77</v>
      </c>
      <c r="V231">
        <v>7428.4</v>
      </c>
      <c r="W231">
        <v>1379.56</v>
      </c>
      <c r="X231">
        <v>2986.52</v>
      </c>
      <c r="Y231">
        <v>53439</v>
      </c>
      <c r="Z231">
        <v>69807.259999999995</v>
      </c>
      <c r="AA231">
        <v>7080.8</v>
      </c>
      <c r="AB231">
        <v>116196.54</v>
      </c>
      <c r="AC231">
        <v>614920.43999999994</v>
      </c>
      <c r="AD231">
        <v>1.27</v>
      </c>
      <c r="AE231">
        <v>0.75</v>
      </c>
      <c r="AF231">
        <v>1.43</v>
      </c>
      <c r="AG231">
        <v>2.86</v>
      </c>
      <c r="AH231">
        <v>0</v>
      </c>
      <c r="AI231">
        <v>0</v>
      </c>
      <c r="AJ231">
        <v>0</v>
      </c>
      <c r="AK231">
        <v>0</v>
      </c>
      <c r="AL231">
        <v>77235.659999999902</v>
      </c>
      <c r="AM231">
        <v>8460.36</v>
      </c>
      <c r="AN231">
        <v>119183.06</v>
      </c>
      <c r="AO231">
        <v>668359.43999999994</v>
      </c>
      <c r="AP231">
        <v>139385.92000000001</v>
      </c>
      <c r="AQ231">
        <v>33040.74</v>
      </c>
      <c r="AR231">
        <v>100252.37</v>
      </c>
      <c r="AS231">
        <v>211728</v>
      </c>
      <c r="AT231">
        <v>34.926583999999998</v>
      </c>
      <c r="AU231">
        <v>33.913713064</v>
      </c>
      <c r="AV231">
        <v>7427103.1610159902</v>
      </c>
      <c r="AW231">
        <v>35473077.109999999</v>
      </c>
      <c r="AX231">
        <v>4.7761659345455199</v>
      </c>
      <c r="AY231">
        <v>210286.1784</v>
      </c>
      <c r="AZ231">
        <v>1.0026292182210701</v>
      </c>
      <c r="BA231">
        <v>234801.829268292</v>
      </c>
      <c r="BB231">
        <v>1.1195180601377299</v>
      </c>
      <c r="BC231">
        <v>24.1126222222222</v>
      </c>
    </row>
    <row r="232" spans="1:55" x14ac:dyDescent="0.2">
      <c r="A232" t="s">
        <v>511</v>
      </c>
      <c r="B232" t="s">
        <v>512</v>
      </c>
      <c r="C232">
        <v>1750</v>
      </c>
      <c r="D232">
        <v>400</v>
      </c>
      <c r="E232">
        <v>100</v>
      </c>
      <c r="F232">
        <v>350</v>
      </c>
      <c r="G232">
        <v>400</v>
      </c>
      <c r="H232">
        <v>0</v>
      </c>
      <c r="I232">
        <v>3000</v>
      </c>
      <c r="J232">
        <v>55550.16</v>
      </c>
      <c r="K232">
        <v>719655.84</v>
      </c>
      <c r="L232">
        <v>503759.09</v>
      </c>
      <c r="M232">
        <v>117001.78</v>
      </c>
      <c r="N232">
        <v>333753.53999999998</v>
      </c>
      <c r="O232">
        <v>918477</v>
      </c>
      <c r="P232">
        <v>27612000</v>
      </c>
      <c r="Q232">
        <v>115108.03</v>
      </c>
      <c r="R232">
        <v>18716.8</v>
      </c>
      <c r="S232">
        <v>169220.28</v>
      </c>
      <c r="T232">
        <v>994378.18</v>
      </c>
      <c r="U232">
        <v>68</v>
      </c>
      <c r="V232">
        <v>71866.23</v>
      </c>
      <c r="W232">
        <v>35508.51</v>
      </c>
      <c r="X232">
        <v>103323.27</v>
      </c>
      <c r="Y232">
        <v>1473816.3</v>
      </c>
      <c r="Z232">
        <v>115108.03</v>
      </c>
      <c r="AA232">
        <v>18716.8</v>
      </c>
      <c r="AB232">
        <v>169220.28</v>
      </c>
      <c r="AC232">
        <v>994378.18</v>
      </c>
      <c r="AD232">
        <v>1.23</v>
      </c>
      <c r="AE232">
        <v>1.78</v>
      </c>
      <c r="AF232">
        <v>1.1299999999999999</v>
      </c>
      <c r="AG232">
        <v>3.42</v>
      </c>
      <c r="AH232">
        <v>0</v>
      </c>
      <c r="AI232">
        <v>0</v>
      </c>
      <c r="AJ232">
        <v>0</v>
      </c>
      <c r="AK232">
        <v>0</v>
      </c>
      <c r="AL232">
        <v>186974.26</v>
      </c>
      <c r="AM232">
        <v>54225.31</v>
      </c>
      <c r="AN232">
        <v>272543.55</v>
      </c>
      <c r="AO232">
        <v>2468194.48</v>
      </c>
      <c r="AP232">
        <v>431892.86</v>
      </c>
      <c r="AQ232">
        <v>81493.269999999902</v>
      </c>
      <c r="AR232">
        <v>230430.269999999</v>
      </c>
      <c r="AS232">
        <v>-555339.299999999</v>
      </c>
      <c r="AT232">
        <v>30.844256000000001</v>
      </c>
      <c r="AU232">
        <v>29.949772576000001</v>
      </c>
      <c r="AV232">
        <v>23503084.029015999</v>
      </c>
      <c r="AW232">
        <v>104522740.92</v>
      </c>
      <c r="AX232">
        <v>4.4471925808102499</v>
      </c>
      <c r="AY232">
        <v>717708.06720000005</v>
      </c>
      <c r="AZ232">
        <v>0.99729346627687998</v>
      </c>
      <c r="BA232">
        <v>862646.34146341402</v>
      </c>
      <c r="BB232">
        <v>1.1986928939024699</v>
      </c>
      <c r="BC232">
        <v>22.5724138751238</v>
      </c>
    </row>
    <row r="233" spans="1:55" x14ac:dyDescent="0.2">
      <c r="A233" t="s">
        <v>513</v>
      </c>
      <c r="B233" t="s">
        <v>514</v>
      </c>
      <c r="C233">
        <v>592</v>
      </c>
      <c r="D233">
        <v>75</v>
      </c>
      <c r="E233">
        <v>0</v>
      </c>
      <c r="F233">
        <v>0</v>
      </c>
      <c r="G233">
        <v>0</v>
      </c>
      <c r="H233">
        <v>0</v>
      </c>
      <c r="I233">
        <v>667</v>
      </c>
      <c r="J233">
        <v>15790.14</v>
      </c>
      <c r="K233">
        <v>206437.75</v>
      </c>
      <c r="L233">
        <v>144506.43</v>
      </c>
      <c r="M233">
        <v>34343.85</v>
      </c>
      <c r="N233">
        <v>110954.01</v>
      </c>
      <c r="O233">
        <v>296800.38</v>
      </c>
      <c r="P233">
        <v>13224000</v>
      </c>
      <c r="Q233">
        <v>68922.31</v>
      </c>
      <c r="R233">
        <v>13518.02</v>
      </c>
      <c r="S233">
        <v>120536.84</v>
      </c>
      <c r="T233">
        <v>533946.48</v>
      </c>
      <c r="U233">
        <v>63</v>
      </c>
      <c r="V233">
        <v>0</v>
      </c>
      <c r="W233">
        <v>0</v>
      </c>
      <c r="X233">
        <v>0</v>
      </c>
      <c r="Y233">
        <v>0</v>
      </c>
      <c r="Z233">
        <v>68922.31</v>
      </c>
      <c r="AA233">
        <v>13518.02</v>
      </c>
      <c r="AB233">
        <v>120536.84</v>
      </c>
      <c r="AC233">
        <v>533946.48</v>
      </c>
      <c r="AD233">
        <v>1.25</v>
      </c>
      <c r="AE233">
        <v>1.2</v>
      </c>
      <c r="AF233">
        <v>1.84</v>
      </c>
      <c r="AG233">
        <v>2.4300000000000002</v>
      </c>
      <c r="AH233">
        <v>25486.400000000001</v>
      </c>
      <c r="AI233">
        <v>10307</v>
      </c>
      <c r="AJ233">
        <v>46287.8</v>
      </c>
      <c r="AK233">
        <v>0</v>
      </c>
      <c r="AL233">
        <v>68922.31</v>
      </c>
      <c r="AM233">
        <v>13518.02</v>
      </c>
      <c r="AN233">
        <v>120536.84</v>
      </c>
      <c r="AO233">
        <v>533946.48</v>
      </c>
      <c r="AP233">
        <v>119020.03</v>
      </c>
      <c r="AQ233">
        <v>24036.8499999999</v>
      </c>
      <c r="AR233">
        <v>64666.209999999897</v>
      </c>
      <c r="AS233">
        <v>296800.38</v>
      </c>
      <c r="AT233">
        <v>28.576295999999999</v>
      </c>
      <c r="AU233">
        <v>27.747583415999902</v>
      </c>
      <c r="AV233">
        <v>6755287.9205422699</v>
      </c>
      <c r="AW233">
        <v>50058261.840000004</v>
      </c>
      <c r="AX233">
        <v>7.4102336464115597</v>
      </c>
      <c r="AY233">
        <v>204008.60879999999</v>
      </c>
      <c r="AZ233">
        <v>0.988233057180675</v>
      </c>
      <c r="BA233">
        <v>243455</v>
      </c>
      <c r="BB233">
        <v>1.1793143453656101</v>
      </c>
      <c r="BC233">
        <v>23.673373313343301</v>
      </c>
    </row>
    <row r="234" spans="1:55" x14ac:dyDescent="0.2">
      <c r="A234" t="s">
        <v>515</v>
      </c>
      <c r="B234" t="s">
        <v>516</v>
      </c>
      <c r="C234">
        <v>0</v>
      </c>
      <c r="D234">
        <v>0</v>
      </c>
      <c r="E234">
        <v>900</v>
      </c>
      <c r="F234">
        <v>0</v>
      </c>
      <c r="G234">
        <v>0</v>
      </c>
      <c r="H234">
        <v>0</v>
      </c>
      <c r="I234">
        <v>900</v>
      </c>
      <c r="J234">
        <v>7951.68</v>
      </c>
      <c r="K234">
        <v>85644</v>
      </c>
      <c r="L234">
        <v>59950.8</v>
      </c>
      <c r="M234">
        <v>14493.6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15362.51</v>
      </c>
      <c r="W234">
        <v>4938.62</v>
      </c>
      <c r="X234">
        <v>31667.5</v>
      </c>
      <c r="Y234">
        <v>1370373.19</v>
      </c>
      <c r="Z234">
        <v>0</v>
      </c>
      <c r="AA234">
        <v>0</v>
      </c>
      <c r="AB234">
        <v>0</v>
      </c>
      <c r="AC234">
        <v>0</v>
      </c>
      <c r="AD234">
        <v>1.35</v>
      </c>
      <c r="AE234">
        <v>2.7</v>
      </c>
      <c r="AF234">
        <v>2.36</v>
      </c>
      <c r="AG234">
        <v>9.2100000000000009</v>
      </c>
      <c r="AH234">
        <v>0</v>
      </c>
      <c r="AI234">
        <v>0</v>
      </c>
      <c r="AJ234">
        <v>0</v>
      </c>
      <c r="AK234">
        <v>0</v>
      </c>
      <c r="AL234">
        <v>15362.51</v>
      </c>
      <c r="AM234">
        <v>4938.62</v>
      </c>
      <c r="AN234">
        <v>31667.5</v>
      </c>
      <c r="AO234">
        <v>1370373.19</v>
      </c>
      <c r="AP234">
        <v>44588.29</v>
      </c>
      <c r="AQ234">
        <v>9554.98</v>
      </c>
      <c r="AR234">
        <v>-31666.5</v>
      </c>
      <c r="AS234">
        <v>-1370373.19</v>
      </c>
      <c r="AT234">
        <v>0.453592</v>
      </c>
      <c r="AU234">
        <v>0.44043783199999997</v>
      </c>
      <c r="AV234">
        <v>0</v>
      </c>
      <c r="AW234">
        <v>0</v>
      </c>
      <c r="AY234">
        <v>102735.7056</v>
      </c>
      <c r="AZ234">
        <v>1.199566876839</v>
      </c>
      <c r="BA234">
        <v>120182.92682926801</v>
      </c>
      <c r="BB234">
        <v>1.40328483991019</v>
      </c>
      <c r="BC234">
        <v>24.149546666666598</v>
      </c>
    </row>
    <row r="235" spans="1:55" x14ac:dyDescent="0.2">
      <c r="A235" t="s">
        <v>517</v>
      </c>
      <c r="B235" t="s">
        <v>518</v>
      </c>
      <c r="C235">
        <v>584</v>
      </c>
      <c r="D235">
        <v>1</v>
      </c>
      <c r="E235">
        <v>200</v>
      </c>
      <c r="F235">
        <v>120</v>
      </c>
      <c r="G235">
        <v>0</v>
      </c>
      <c r="H235">
        <v>0</v>
      </c>
      <c r="I235">
        <v>905</v>
      </c>
      <c r="J235">
        <v>17975.48</v>
      </c>
      <c r="K235">
        <v>225235.63</v>
      </c>
      <c r="L235">
        <v>157664.94</v>
      </c>
      <c r="M235">
        <v>38096.089999999997</v>
      </c>
      <c r="N235">
        <v>111378.32</v>
      </c>
      <c r="O235">
        <v>275960.34000000003</v>
      </c>
      <c r="P235">
        <v>1375000</v>
      </c>
      <c r="Q235">
        <v>12948.97</v>
      </c>
      <c r="R235">
        <v>1049.3399999999999</v>
      </c>
      <c r="S235">
        <v>525856</v>
      </c>
      <c r="T235">
        <v>213861.49</v>
      </c>
      <c r="U235">
        <v>68</v>
      </c>
      <c r="V235">
        <v>25666.92</v>
      </c>
      <c r="W235">
        <v>8809.89</v>
      </c>
      <c r="X235">
        <v>37580.1</v>
      </c>
      <c r="Y235">
        <v>0</v>
      </c>
      <c r="Z235">
        <v>12948.97</v>
      </c>
      <c r="AA235">
        <v>1049.3399999999999</v>
      </c>
      <c r="AB235">
        <v>525856</v>
      </c>
      <c r="AC235">
        <v>213861.49</v>
      </c>
      <c r="AD235">
        <v>1.3</v>
      </c>
      <c r="AE235">
        <v>0.86</v>
      </c>
      <c r="AF235">
        <v>9.6199999999999992</v>
      </c>
      <c r="AG235">
        <v>0.4</v>
      </c>
      <c r="AH235">
        <v>0</v>
      </c>
      <c r="AI235">
        <v>0</v>
      </c>
      <c r="AJ235">
        <v>0</v>
      </c>
      <c r="AK235">
        <v>0</v>
      </c>
      <c r="AL235">
        <v>38615.89</v>
      </c>
      <c r="AM235">
        <v>9859.23</v>
      </c>
      <c r="AN235">
        <v>563436.1</v>
      </c>
      <c r="AO235">
        <v>213861.49</v>
      </c>
      <c r="AP235">
        <v>131998.01999999999</v>
      </c>
      <c r="AQ235">
        <v>29286.199999999899</v>
      </c>
      <c r="AR235">
        <v>73798.22</v>
      </c>
      <c r="AS235">
        <v>275960.34000000003</v>
      </c>
      <c r="AT235">
        <v>30.844256000000001</v>
      </c>
      <c r="AU235">
        <v>29.949772576000001</v>
      </c>
      <c r="AV235">
        <v>6395025.1892903997</v>
      </c>
      <c r="AW235">
        <v>5204938.75</v>
      </c>
      <c r="AX235">
        <v>0.81390433906602699</v>
      </c>
      <c r="AY235">
        <v>232243.2016</v>
      </c>
      <c r="AZ235">
        <v>1.0311121806083701</v>
      </c>
      <c r="BA235">
        <v>256256.70731707299</v>
      </c>
      <c r="BB235">
        <v>1.13772722067584</v>
      </c>
      <c r="BC235">
        <v>25.603428174396299</v>
      </c>
    </row>
    <row r="236" spans="1:55" x14ac:dyDescent="0.2">
      <c r="A236" t="s">
        <v>519</v>
      </c>
      <c r="B236" t="s">
        <v>520</v>
      </c>
      <c r="C236">
        <v>437</v>
      </c>
      <c r="D236">
        <v>1</v>
      </c>
      <c r="E236">
        <v>151</v>
      </c>
      <c r="F236">
        <v>83</v>
      </c>
      <c r="G236">
        <v>0</v>
      </c>
      <c r="H236">
        <v>0</v>
      </c>
      <c r="I236">
        <v>672</v>
      </c>
      <c r="J236">
        <v>13627.88</v>
      </c>
      <c r="K236">
        <v>170085.48</v>
      </c>
      <c r="L236">
        <v>119059.84</v>
      </c>
      <c r="M236">
        <v>28796.02</v>
      </c>
      <c r="N236">
        <v>84206.71</v>
      </c>
      <c r="O236">
        <v>206555.76</v>
      </c>
      <c r="P236">
        <v>2394000</v>
      </c>
      <c r="Q236">
        <v>2010.93</v>
      </c>
      <c r="R236">
        <v>736.3</v>
      </c>
      <c r="S236">
        <v>4663.97</v>
      </c>
      <c r="T236">
        <v>23825.68</v>
      </c>
      <c r="U236">
        <v>71</v>
      </c>
      <c r="V236">
        <v>31375.87</v>
      </c>
      <c r="W236">
        <v>10407.719999999999</v>
      </c>
      <c r="X236">
        <v>43341.02</v>
      </c>
      <c r="Y236">
        <v>42432</v>
      </c>
      <c r="Z236">
        <v>2010.93</v>
      </c>
      <c r="AA236">
        <v>736.3</v>
      </c>
      <c r="AB236">
        <v>4663.97</v>
      </c>
      <c r="AC236">
        <v>23825.68</v>
      </c>
      <c r="AD236">
        <v>1.1100000000000001</v>
      </c>
      <c r="AE236">
        <v>1.44</v>
      </c>
      <c r="AF236">
        <v>1.08</v>
      </c>
      <c r="AG236">
        <v>0.65</v>
      </c>
      <c r="AH236">
        <v>27714.400000000001</v>
      </c>
      <c r="AI236">
        <v>9191</v>
      </c>
      <c r="AJ236">
        <v>38460.800000000003</v>
      </c>
      <c r="AK236">
        <v>0</v>
      </c>
      <c r="AL236">
        <v>33386.799999999901</v>
      </c>
      <c r="AM236">
        <v>11144.0199999999</v>
      </c>
      <c r="AN236">
        <v>48004.99</v>
      </c>
      <c r="AO236">
        <v>66257.679999999993</v>
      </c>
      <c r="AP236">
        <v>59969.57</v>
      </c>
      <c r="AQ236">
        <v>9197.2999999999993</v>
      </c>
      <c r="AR236">
        <v>2404.89</v>
      </c>
      <c r="AS236">
        <v>164123.76</v>
      </c>
      <c r="AT236">
        <v>32.205032000000003</v>
      </c>
      <c r="AU236">
        <v>31.271086071999999</v>
      </c>
      <c r="AV236">
        <v>4999308.5303306403</v>
      </c>
      <c r="AW236">
        <v>9062271.5399999991</v>
      </c>
      <c r="AX236">
        <v>1.8127049941045801</v>
      </c>
      <c r="AY236">
        <v>176072.2096</v>
      </c>
      <c r="AZ236">
        <v>1.0351983579080299</v>
      </c>
      <c r="BA236">
        <v>191117.560975609</v>
      </c>
      <c r="BB236">
        <v>1.1236559462666</v>
      </c>
      <c r="BC236">
        <v>26.026787777156599</v>
      </c>
    </row>
    <row r="237" spans="1:55" x14ac:dyDescent="0.2">
      <c r="A237" t="s">
        <v>521</v>
      </c>
      <c r="B237" t="s">
        <v>522</v>
      </c>
      <c r="C237">
        <v>570</v>
      </c>
      <c r="D237">
        <v>45</v>
      </c>
      <c r="E237">
        <v>215</v>
      </c>
      <c r="F237">
        <v>195</v>
      </c>
      <c r="G237">
        <v>145</v>
      </c>
      <c r="H237">
        <v>55</v>
      </c>
      <c r="I237">
        <v>1225</v>
      </c>
      <c r="J237">
        <v>20009.09</v>
      </c>
      <c r="K237">
        <v>249189</v>
      </c>
      <c r="L237">
        <v>174432.3</v>
      </c>
      <c r="M237">
        <v>40866.370000000003</v>
      </c>
      <c r="N237">
        <v>109459.33</v>
      </c>
      <c r="O237">
        <v>279495.90000000002</v>
      </c>
      <c r="P237">
        <v>4428000</v>
      </c>
      <c r="Q237">
        <v>60904.15</v>
      </c>
      <c r="R237">
        <v>5065.08</v>
      </c>
      <c r="S237">
        <v>65082.99</v>
      </c>
      <c r="T237">
        <v>341877.96</v>
      </c>
      <c r="U237">
        <v>70</v>
      </c>
      <c r="V237">
        <v>60641.86</v>
      </c>
      <c r="W237">
        <v>12408.18</v>
      </c>
      <c r="X237">
        <v>67321.31</v>
      </c>
      <c r="Y237">
        <v>0</v>
      </c>
      <c r="Z237">
        <v>60904.15</v>
      </c>
      <c r="AA237">
        <v>5065.08</v>
      </c>
      <c r="AB237">
        <v>65082.99</v>
      </c>
      <c r="AC237">
        <v>341877.96</v>
      </c>
      <c r="AD237">
        <v>0.91</v>
      </c>
      <c r="AE237">
        <v>0.74</v>
      </c>
      <c r="AF237">
        <v>0.78</v>
      </c>
      <c r="AG237">
        <v>1.89</v>
      </c>
      <c r="AH237">
        <v>0</v>
      </c>
      <c r="AI237">
        <v>0</v>
      </c>
      <c r="AJ237">
        <v>0</v>
      </c>
      <c r="AK237">
        <v>0</v>
      </c>
      <c r="AL237">
        <v>121546.01</v>
      </c>
      <c r="AM237">
        <v>17473.259999999998</v>
      </c>
      <c r="AN237">
        <v>132404.29999999999</v>
      </c>
      <c r="AO237">
        <v>341877.96</v>
      </c>
      <c r="AP237">
        <v>113790.439999999</v>
      </c>
      <c r="AQ237">
        <v>28458.19</v>
      </c>
      <c r="AR237">
        <v>42138.02</v>
      </c>
      <c r="AS237">
        <v>279495.90000000002</v>
      </c>
      <c r="AT237">
        <v>31.751439999999999</v>
      </c>
      <c r="AU237">
        <v>30.830648239999999</v>
      </c>
      <c r="AV237">
        <v>6920709.76367399</v>
      </c>
      <c r="AW237">
        <v>16761795.48</v>
      </c>
      <c r="AX237">
        <v>2.4219763654850399</v>
      </c>
      <c r="AY237">
        <v>258517.44279999999</v>
      </c>
      <c r="AZ237">
        <v>1.0374352110245599</v>
      </c>
      <c r="BA237">
        <v>288127.43902439001</v>
      </c>
      <c r="BB237">
        <v>1.15626066569708</v>
      </c>
      <c r="BC237">
        <v>23.8723320238614</v>
      </c>
    </row>
    <row r="238" spans="1:55" x14ac:dyDescent="0.2">
      <c r="A238" t="s">
        <v>523</v>
      </c>
      <c r="B238" t="s">
        <v>524</v>
      </c>
      <c r="C238">
        <v>898</v>
      </c>
      <c r="D238">
        <v>153</v>
      </c>
      <c r="E238">
        <v>283</v>
      </c>
      <c r="F238">
        <v>238</v>
      </c>
      <c r="G238">
        <v>168</v>
      </c>
      <c r="H238">
        <v>0</v>
      </c>
      <c r="I238">
        <v>1740</v>
      </c>
      <c r="J238">
        <v>32163.67</v>
      </c>
      <c r="K238">
        <v>399235.9</v>
      </c>
      <c r="L238">
        <v>279465.13</v>
      </c>
      <c r="M238">
        <v>65853.45</v>
      </c>
      <c r="N238">
        <v>177179.27</v>
      </c>
      <c r="O238">
        <v>459260.46</v>
      </c>
      <c r="P238">
        <v>14154000</v>
      </c>
      <c r="Q238">
        <v>62560.26</v>
      </c>
      <c r="R238">
        <v>14188.94</v>
      </c>
      <c r="S238">
        <v>89498.22</v>
      </c>
      <c r="T238">
        <v>597597.97</v>
      </c>
      <c r="U238">
        <v>78</v>
      </c>
      <c r="V238">
        <v>55058.36</v>
      </c>
      <c r="W238">
        <v>15269.04</v>
      </c>
      <c r="X238">
        <v>40952.68</v>
      </c>
      <c r="Y238">
        <v>932542</v>
      </c>
      <c r="Z238">
        <v>62560.26</v>
      </c>
      <c r="AA238">
        <v>14188.94</v>
      </c>
      <c r="AB238">
        <v>89498.22</v>
      </c>
      <c r="AC238">
        <v>597597.97</v>
      </c>
      <c r="AD238">
        <v>1.06</v>
      </c>
      <c r="AE238">
        <v>1.37</v>
      </c>
      <c r="AF238">
        <v>1.07</v>
      </c>
      <c r="AG238">
        <v>2.86</v>
      </c>
      <c r="AH238">
        <v>97597.5</v>
      </c>
      <c r="AI238">
        <v>24927.5</v>
      </c>
      <c r="AJ238">
        <v>64642.5</v>
      </c>
      <c r="AK238">
        <v>1880125</v>
      </c>
      <c r="AL238">
        <v>117618.62</v>
      </c>
      <c r="AM238">
        <v>29457.98</v>
      </c>
      <c r="AN238">
        <v>130450.9</v>
      </c>
      <c r="AO238">
        <v>1530139.97</v>
      </c>
      <c r="AP238">
        <v>126809.27</v>
      </c>
      <c r="AQ238">
        <v>25656.909999999902</v>
      </c>
      <c r="AR238">
        <v>71584.09</v>
      </c>
      <c r="AS238">
        <v>-2353406.54</v>
      </c>
      <c r="AT238">
        <v>35.380175999999999</v>
      </c>
      <c r="AU238">
        <v>34.354150896</v>
      </c>
      <c r="AV238">
        <v>13178767.595969001</v>
      </c>
      <c r="AW238">
        <v>53578693.140000001</v>
      </c>
      <c r="AX238">
        <v>4.0655313746019699</v>
      </c>
      <c r="AY238">
        <v>415554.6164</v>
      </c>
      <c r="AZ238">
        <v>1.0408748722246599</v>
      </c>
      <c r="BA238">
        <v>460665.60975609702</v>
      </c>
      <c r="BB238">
        <v>1.1538682011214301</v>
      </c>
      <c r="BC238">
        <v>24.682934713435401</v>
      </c>
    </row>
    <row r="239" spans="1:55" x14ac:dyDescent="0.2">
      <c r="A239" t="s">
        <v>525</v>
      </c>
      <c r="B239" t="s">
        <v>526</v>
      </c>
      <c r="C239">
        <v>1855</v>
      </c>
      <c r="D239">
        <v>280</v>
      </c>
      <c r="E239">
        <v>551</v>
      </c>
      <c r="F239">
        <v>371</v>
      </c>
      <c r="G239">
        <v>398</v>
      </c>
      <c r="H239">
        <v>391</v>
      </c>
      <c r="I239">
        <v>3846</v>
      </c>
      <c r="J239">
        <v>65016.639999999999</v>
      </c>
      <c r="K239">
        <v>817511.54</v>
      </c>
      <c r="L239">
        <v>572258.07999999996</v>
      </c>
      <c r="M239">
        <v>132705.93</v>
      </c>
      <c r="N239">
        <v>362333.27</v>
      </c>
      <c r="O239">
        <v>940382.1</v>
      </c>
      <c r="P239">
        <v>66669181</v>
      </c>
      <c r="Q239">
        <v>241866.98</v>
      </c>
      <c r="R239">
        <v>23564.85</v>
      </c>
      <c r="S239">
        <v>285283.42</v>
      </c>
      <c r="T239">
        <v>1644857.05</v>
      </c>
      <c r="U239">
        <v>75</v>
      </c>
      <c r="V239">
        <v>0</v>
      </c>
      <c r="W239">
        <v>0</v>
      </c>
      <c r="X239">
        <v>0</v>
      </c>
      <c r="Y239">
        <v>0</v>
      </c>
      <c r="Z239">
        <v>241866.98</v>
      </c>
      <c r="AA239">
        <v>23564.85</v>
      </c>
      <c r="AB239">
        <v>285283.42</v>
      </c>
      <c r="AC239">
        <v>1644857.05</v>
      </c>
      <c r="AD239">
        <v>1.3</v>
      </c>
      <c r="AE239">
        <v>0.44</v>
      </c>
      <c r="AF239">
        <v>1.04</v>
      </c>
      <c r="AG239">
        <v>3.46</v>
      </c>
      <c r="AH239">
        <v>30355.200000000001</v>
      </c>
      <c r="AI239">
        <v>10713.6</v>
      </c>
      <c r="AJ239">
        <v>35935.199999999997</v>
      </c>
      <c r="AK239">
        <v>0</v>
      </c>
      <c r="AL239">
        <v>241866.98</v>
      </c>
      <c r="AM239">
        <v>23564.85</v>
      </c>
      <c r="AN239">
        <v>285283.42</v>
      </c>
      <c r="AO239">
        <v>1644857.05</v>
      </c>
      <c r="AP239">
        <v>541902.88</v>
      </c>
      <c r="AQ239">
        <v>121992.329999999</v>
      </c>
      <c r="AR239">
        <v>326398.06999999902</v>
      </c>
      <c r="AS239">
        <v>940382.09999999905</v>
      </c>
      <c r="AT239">
        <v>34.019399999999997</v>
      </c>
      <c r="AU239">
        <v>33.032837399999998</v>
      </c>
      <c r="AV239">
        <v>25741664.364884999</v>
      </c>
      <c r="AW239">
        <v>252370184.44920999</v>
      </c>
      <c r="AX239">
        <v>9.8039575402698507</v>
      </c>
      <c r="AY239">
        <v>840014.988799999</v>
      </c>
      <c r="AZ239">
        <v>1.0275267659218601</v>
      </c>
      <c r="BA239">
        <v>937515.85365853598</v>
      </c>
      <c r="BB239">
        <v>1.14679219532306</v>
      </c>
      <c r="BC239">
        <v>23.548429681978799</v>
      </c>
    </row>
    <row r="240" spans="1:55" x14ac:dyDescent="0.2">
      <c r="A240" t="s">
        <v>527</v>
      </c>
      <c r="B240" t="s">
        <v>528</v>
      </c>
      <c r="C240">
        <v>300</v>
      </c>
      <c r="D240">
        <v>40</v>
      </c>
      <c r="E240">
        <v>115</v>
      </c>
      <c r="F240">
        <v>115</v>
      </c>
      <c r="G240">
        <v>20</v>
      </c>
      <c r="H240">
        <v>50</v>
      </c>
      <c r="I240">
        <v>640</v>
      </c>
      <c r="J240">
        <v>10410.780000000001</v>
      </c>
      <c r="K240">
        <v>126759.3</v>
      </c>
      <c r="L240">
        <v>88731.51</v>
      </c>
      <c r="M240">
        <v>20730.68</v>
      </c>
      <c r="N240">
        <v>54645.57</v>
      </c>
      <c r="O240">
        <v>150865.20000000001</v>
      </c>
      <c r="P240">
        <v>8130000</v>
      </c>
      <c r="Q240">
        <v>21846.04</v>
      </c>
      <c r="R240">
        <v>2869.84</v>
      </c>
      <c r="S240">
        <v>32158.46</v>
      </c>
      <c r="T240">
        <v>298517.34000000003</v>
      </c>
      <c r="U240">
        <v>55</v>
      </c>
      <c r="V240">
        <v>23542.49</v>
      </c>
      <c r="W240">
        <v>6844.76</v>
      </c>
      <c r="X240">
        <v>40690.720000000001</v>
      </c>
      <c r="Y240">
        <v>569670.07999999996</v>
      </c>
      <c r="Z240">
        <v>21846.04</v>
      </c>
      <c r="AA240">
        <v>2869.84</v>
      </c>
      <c r="AB240">
        <v>32158.46</v>
      </c>
      <c r="AC240">
        <v>298517.34000000003</v>
      </c>
      <c r="AD240">
        <v>0.99</v>
      </c>
      <c r="AE240">
        <v>1.79</v>
      </c>
      <c r="AF240">
        <v>1.17</v>
      </c>
      <c r="AG240">
        <v>3.62</v>
      </c>
      <c r="AH240">
        <v>82141.61</v>
      </c>
      <c r="AI240">
        <v>18948.37</v>
      </c>
      <c r="AJ240">
        <v>147495.66</v>
      </c>
      <c r="AK240">
        <v>1877934.62</v>
      </c>
      <c r="AL240">
        <v>45388.53</v>
      </c>
      <c r="AM240">
        <v>9714.6</v>
      </c>
      <c r="AN240">
        <v>72849.179999999993</v>
      </c>
      <c r="AO240">
        <v>868187.41999999899</v>
      </c>
      <c r="AP240">
        <v>-16952.59</v>
      </c>
      <c r="AQ240">
        <v>-5062.4499999999898</v>
      </c>
      <c r="AR240">
        <v>-133540.81</v>
      </c>
      <c r="AS240">
        <v>-2296739.5</v>
      </c>
      <c r="AT240">
        <v>24.947559999999999</v>
      </c>
      <c r="AU240">
        <v>24.22408076</v>
      </c>
      <c r="AV240">
        <v>3006208.4223159999</v>
      </c>
      <c r="AW240">
        <v>30775383.300000001</v>
      </c>
      <c r="AX240">
        <v>10.2372753238082</v>
      </c>
      <c r="AY240">
        <v>134507.2776</v>
      </c>
      <c r="AZ240">
        <v>1.06112354359798</v>
      </c>
      <c r="BA240">
        <v>157929.26829268201</v>
      </c>
      <c r="BB240">
        <v>1.2458988673232001</v>
      </c>
      <c r="BC240">
        <v>23.1476127982646</v>
      </c>
    </row>
    <row r="241" spans="1:55" x14ac:dyDescent="0.2">
      <c r="A241" t="s">
        <v>529</v>
      </c>
      <c r="B241" t="s">
        <v>530</v>
      </c>
      <c r="C241">
        <v>2800</v>
      </c>
      <c r="D241">
        <v>400</v>
      </c>
      <c r="E241">
        <v>1220</v>
      </c>
      <c r="F241">
        <v>850</v>
      </c>
      <c r="G241">
        <v>450</v>
      </c>
      <c r="H241">
        <v>1500</v>
      </c>
      <c r="I241">
        <v>7220</v>
      </c>
      <c r="J241">
        <v>108974.75</v>
      </c>
      <c r="K241">
        <v>1354818.85</v>
      </c>
      <c r="L241">
        <v>948373.2</v>
      </c>
      <c r="M241">
        <v>217398.51</v>
      </c>
      <c r="N241">
        <v>556141.35</v>
      </c>
      <c r="O241">
        <v>1414224</v>
      </c>
      <c r="P241">
        <v>60811765</v>
      </c>
      <c r="Q241">
        <v>286683.69</v>
      </c>
      <c r="R241">
        <v>21379.43</v>
      </c>
      <c r="S241">
        <v>227095.91</v>
      </c>
      <c r="T241">
        <v>1878550.39</v>
      </c>
      <c r="U241">
        <v>80</v>
      </c>
      <c r="V241">
        <v>272930.63</v>
      </c>
      <c r="W241">
        <v>82138.13</v>
      </c>
      <c r="X241">
        <v>368580.11</v>
      </c>
      <c r="Y241">
        <v>11438821.32</v>
      </c>
      <c r="Z241">
        <v>286683.69</v>
      </c>
      <c r="AA241">
        <v>21379.43</v>
      </c>
      <c r="AB241">
        <v>227095.91</v>
      </c>
      <c r="AC241">
        <v>1878550.39</v>
      </c>
      <c r="AD241">
        <v>0.99</v>
      </c>
      <c r="AE241">
        <v>0.93</v>
      </c>
      <c r="AF241">
        <v>0.72</v>
      </c>
      <c r="AG241">
        <v>4.46</v>
      </c>
      <c r="AH241">
        <v>646633.34</v>
      </c>
      <c r="AI241">
        <v>123133.55</v>
      </c>
      <c r="AJ241">
        <v>524671.93000000005</v>
      </c>
      <c r="AK241">
        <v>10638638.82</v>
      </c>
      <c r="AL241">
        <v>559614.31999999995</v>
      </c>
      <c r="AM241">
        <v>103517.56</v>
      </c>
      <c r="AN241">
        <v>595676.02</v>
      </c>
      <c r="AO241">
        <v>13317371.710000001</v>
      </c>
      <c r="AP241">
        <v>28809.229999999799</v>
      </c>
      <c r="AQ241">
        <v>12126.83</v>
      </c>
      <c r="AR241">
        <v>-337110.69</v>
      </c>
      <c r="AS241">
        <v>-20663236.140000001</v>
      </c>
      <c r="AT241">
        <v>36.28736</v>
      </c>
      <c r="AU241">
        <v>35.235026560000001</v>
      </c>
      <c r="AV241">
        <v>41154511.022079997</v>
      </c>
      <c r="AW241">
        <v>230197463.34865001</v>
      </c>
      <c r="AX241">
        <v>5.5934928548937304</v>
      </c>
      <c r="AY241">
        <v>1407953.77</v>
      </c>
      <c r="AZ241">
        <v>1.03921920631677</v>
      </c>
      <c r="BA241">
        <v>1531219.5121951201</v>
      </c>
      <c r="BB241">
        <v>1.1302023973132</v>
      </c>
      <c r="BC241">
        <v>23.3314086161879</v>
      </c>
    </row>
    <row r="242" spans="1:55" x14ac:dyDescent="0.2">
      <c r="A242" t="s">
        <v>531</v>
      </c>
      <c r="B242" t="s">
        <v>532</v>
      </c>
      <c r="C242">
        <v>0</v>
      </c>
      <c r="D242">
        <v>0</v>
      </c>
      <c r="E242">
        <v>0</v>
      </c>
      <c r="F242">
        <v>150</v>
      </c>
      <c r="G242">
        <v>0</v>
      </c>
      <c r="H242">
        <v>0</v>
      </c>
      <c r="I242">
        <v>150</v>
      </c>
      <c r="J242">
        <v>1597.03</v>
      </c>
      <c r="K242">
        <v>14274</v>
      </c>
      <c r="L242">
        <v>9991.7999999999993</v>
      </c>
      <c r="M242">
        <v>2415.6</v>
      </c>
      <c r="N242">
        <v>1</v>
      </c>
      <c r="O242">
        <v>0</v>
      </c>
      <c r="P242">
        <v>4140000</v>
      </c>
      <c r="Q242">
        <v>8084.3</v>
      </c>
      <c r="R242">
        <v>2674.04</v>
      </c>
      <c r="S242">
        <v>28882.38</v>
      </c>
      <c r="T242">
        <v>134738.37</v>
      </c>
      <c r="U242">
        <v>1</v>
      </c>
      <c r="V242">
        <v>24528.080000000002</v>
      </c>
      <c r="W242">
        <v>7902.95</v>
      </c>
      <c r="X242">
        <v>25139.05</v>
      </c>
      <c r="Y242">
        <v>299055.68</v>
      </c>
      <c r="Z242">
        <v>8084.3</v>
      </c>
      <c r="AA242">
        <v>2674.04</v>
      </c>
      <c r="AB242">
        <v>28882.38</v>
      </c>
      <c r="AC242">
        <v>134738.37</v>
      </c>
      <c r="AD242">
        <v>1.2</v>
      </c>
      <c r="AE242">
        <v>1.22</v>
      </c>
      <c r="AF242">
        <v>1.43</v>
      </c>
      <c r="AG242">
        <v>3.22</v>
      </c>
      <c r="AH242">
        <v>0</v>
      </c>
      <c r="AI242">
        <v>0</v>
      </c>
      <c r="AJ242">
        <v>0</v>
      </c>
      <c r="AK242">
        <v>0</v>
      </c>
      <c r="AL242">
        <v>32612.38</v>
      </c>
      <c r="AM242">
        <v>10576.99</v>
      </c>
      <c r="AN242">
        <v>54021.43</v>
      </c>
      <c r="AO242">
        <v>433794.05</v>
      </c>
      <c r="AP242">
        <v>-14536.28</v>
      </c>
      <c r="AQ242">
        <v>-5487.35</v>
      </c>
      <c r="AR242">
        <v>-25138.05</v>
      </c>
      <c r="AS242">
        <v>-299055.68</v>
      </c>
      <c r="AT242">
        <v>0.453592</v>
      </c>
      <c r="AU242">
        <v>0.44043783199999997</v>
      </c>
      <c r="AV242">
        <v>0</v>
      </c>
      <c r="AW242">
        <v>15671597.4</v>
      </c>
      <c r="AY242">
        <v>20633.6276</v>
      </c>
      <c r="AZ242">
        <v>1.4455392742048401</v>
      </c>
      <c r="BA242">
        <v>20030.487804878001</v>
      </c>
      <c r="BB242">
        <v>1.40328483991019</v>
      </c>
      <c r="BC242">
        <v>29.101435555555501</v>
      </c>
    </row>
    <row r="243" spans="1:55" x14ac:dyDescent="0.2">
      <c r="A243" t="s">
        <v>533</v>
      </c>
      <c r="B243" t="s">
        <v>534</v>
      </c>
      <c r="C243">
        <v>2100</v>
      </c>
      <c r="D243">
        <v>250</v>
      </c>
      <c r="E243">
        <v>1000</v>
      </c>
      <c r="F243">
        <v>500</v>
      </c>
      <c r="G243">
        <v>300</v>
      </c>
      <c r="H243">
        <v>350</v>
      </c>
      <c r="I243">
        <v>4500</v>
      </c>
      <c r="J243">
        <v>77324.639999999999</v>
      </c>
      <c r="K243">
        <v>960335.74</v>
      </c>
      <c r="L243">
        <v>672235.02</v>
      </c>
      <c r="M243">
        <v>158051.60999999999</v>
      </c>
      <c r="N243">
        <v>417106.01</v>
      </c>
      <c r="O243">
        <v>1049139</v>
      </c>
      <c r="P243">
        <v>33444500</v>
      </c>
      <c r="Q243">
        <v>293760.61</v>
      </c>
      <c r="R243">
        <v>16717.72</v>
      </c>
      <c r="S243">
        <v>180438.39999999999</v>
      </c>
      <c r="T243">
        <v>1081987.21</v>
      </c>
      <c r="U243">
        <v>80</v>
      </c>
      <c r="V243">
        <v>110348.59</v>
      </c>
      <c r="W243">
        <v>31801.54</v>
      </c>
      <c r="X243">
        <v>197600.15</v>
      </c>
      <c r="Y243">
        <v>1093551.3</v>
      </c>
      <c r="Z243">
        <v>151343.32999999999</v>
      </c>
      <c r="AA243">
        <v>15388.98</v>
      </c>
      <c r="AB243">
        <v>156322.89000000001</v>
      </c>
      <c r="AC243">
        <v>954912.83</v>
      </c>
      <c r="AD243">
        <v>1.1499999999999999</v>
      </c>
      <c r="AE243">
        <v>0.82</v>
      </c>
      <c r="AF243">
        <v>0.98</v>
      </c>
      <c r="AG243">
        <v>1.81</v>
      </c>
      <c r="AH243">
        <v>225174.43</v>
      </c>
      <c r="AI243">
        <v>27584.62</v>
      </c>
      <c r="AJ243">
        <v>129788.1</v>
      </c>
      <c r="AK243">
        <v>127074.38</v>
      </c>
      <c r="AL243">
        <v>261691.91999999899</v>
      </c>
      <c r="AM243">
        <v>47190.52</v>
      </c>
      <c r="AN243">
        <v>353923.04</v>
      </c>
      <c r="AO243">
        <v>2048464.13</v>
      </c>
      <c r="AP243">
        <v>479129.27999999898</v>
      </c>
      <c r="AQ243">
        <v>99994.1899999999</v>
      </c>
      <c r="AR243">
        <v>113833.269999999</v>
      </c>
      <c r="AS243">
        <v>-44412.299999999901</v>
      </c>
      <c r="AT243">
        <v>36.28736</v>
      </c>
      <c r="AU243">
        <v>35.235026560000001</v>
      </c>
      <c r="AV243">
        <v>30222844.03184</v>
      </c>
      <c r="AW243">
        <v>126601144.745</v>
      </c>
      <c r="AX243">
        <v>4.1889222804983097</v>
      </c>
      <c r="AY243">
        <v>999034.34880000004</v>
      </c>
      <c r="AZ243">
        <v>1.0402969578118499</v>
      </c>
      <c r="BA243">
        <v>1086987.80487804</v>
      </c>
      <c r="BB243">
        <v>1.1318831108775</v>
      </c>
      <c r="BC243">
        <v>24.652490202177201</v>
      </c>
    </row>
    <row r="244" spans="1:55" x14ac:dyDescent="0.2">
      <c r="A244" t="s">
        <v>535</v>
      </c>
      <c r="B244" t="s">
        <v>536</v>
      </c>
      <c r="C244">
        <v>1200</v>
      </c>
      <c r="D244">
        <v>212</v>
      </c>
      <c r="E244">
        <v>200</v>
      </c>
      <c r="F244">
        <v>300</v>
      </c>
      <c r="G244">
        <v>0</v>
      </c>
      <c r="H244">
        <v>0</v>
      </c>
      <c r="I244">
        <v>1912</v>
      </c>
      <c r="J244">
        <v>38625.14</v>
      </c>
      <c r="K244">
        <v>493627.53</v>
      </c>
      <c r="L244">
        <v>345539.27</v>
      </c>
      <c r="M244">
        <v>82172.14</v>
      </c>
      <c r="N244">
        <v>232021.81</v>
      </c>
      <c r="O244">
        <v>615450.96</v>
      </c>
      <c r="P244">
        <v>11088000</v>
      </c>
      <c r="Q244">
        <v>39626.75</v>
      </c>
      <c r="R244">
        <v>3879.94</v>
      </c>
      <c r="S244">
        <v>55914.02</v>
      </c>
      <c r="T244">
        <v>438850.53</v>
      </c>
      <c r="U244">
        <v>72</v>
      </c>
      <c r="V244">
        <v>15242.64</v>
      </c>
      <c r="W244">
        <v>1524.26</v>
      </c>
      <c r="X244">
        <v>1600.48</v>
      </c>
      <c r="Y244">
        <v>563977.68000000005</v>
      </c>
      <c r="Z244">
        <v>39626.75</v>
      </c>
      <c r="AA244">
        <v>3879.94</v>
      </c>
      <c r="AB244">
        <v>55914.02</v>
      </c>
      <c r="AC244">
        <v>438850.53</v>
      </c>
      <c r="AD244">
        <v>1.31</v>
      </c>
      <c r="AE244">
        <v>0.54</v>
      </c>
      <c r="AF244">
        <v>1.45</v>
      </c>
      <c r="AG244">
        <v>5.77</v>
      </c>
      <c r="AH244">
        <v>0</v>
      </c>
      <c r="AI244">
        <v>0</v>
      </c>
      <c r="AJ244">
        <v>0</v>
      </c>
      <c r="AK244">
        <v>0</v>
      </c>
      <c r="AL244">
        <v>54869.39</v>
      </c>
      <c r="AM244">
        <v>5404.2</v>
      </c>
      <c r="AN244">
        <v>57514.5</v>
      </c>
      <c r="AO244">
        <v>1002828.21</v>
      </c>
      <c r="AP244">
        <v>330296.63</v>
      </c>
      <c r="AQ244">
        <v>80647.88</v>
      </c>
      <c r="AR244">
        <v>230421.33</v>
      </c>
      <c r="AS244">
        <v>51473.279999999897</v>
      </c>
      <c r="AT244">
        <v>32.658624000000003</v>
      </c>
      <c r="AU244">
        <v>31.711523904</v>
      </c>
      <c r="AV244">
        <v>16343485.1896435</v>
      </c>
      <c r="AW244">
        <v>41972626.079999998</v>
      </c>
      <c r="AX244">
        <v>2.56815639950511</v>
      </c>
      <c r="AY244">
        <v>499036.8088</v>
      </c>
      <c r="AZ244">
        <v>1.01095821944938</v>
      </c>
      <c r="BA244">
        <v>582148.29268292605</v>
      </c>
      <c r="BB244">
        <v>1.17932703770174</v>
      </c>
      <c r="BC244">
        <v>24.217499694152099</v>
      </c>
    </row>
    <row r="245" spans="1:55" x14ac:dyDescent="0.2">
      <c r="A245" t="s">
        <v>537</v>
      </c>
      <c r="B245" t="s">
        <v>538</v>
      </c>
      <c r="C245">
        <v>1600</v>
      </c>
      <c r="D245">
        <v>250</v>
      </c>
      <c r="E245">
        <v>275</v>
      </c>
      <c r="F245">
        <v>240</v>
      </c>
      <c r="G245">
        <v>0</v>
      </c>
      <c r="H245">
        <v>0</v>
      </c>
      <c r="I245">
        <v>2365</v>
      </c>
      <c r="J245">
        <v>52061.77</v>
      </c>
      <c r="K245">
        <v>659916.21</v>
      </c>
      <c r="L245">
        <v>461941.35</v>
      </c>
      <c r="M245">
        <v>110405.34</v>
      </c>
      <c r="N245">
        <v>318849.14</v>
      </c>
      <c r="O245">
        <v>813069</v>
      </c>
      <c r="P245">
        <v>14748250</v>
      </c>
      <c r="Q245">
        <v>86274.98</v>
      </c>
      <c r="R245">
        <v>12922.79</v>
      </c>
      <c r="S245">
        <v>101782.32</v>
      </c>
      <c r="T245">
        <v>701522.63</v>
      </c>
      <c r="U245">
        <v>81</v>
      </c>
      <c r="V245">
        <v>0</v>
      </c>
      <c r="W245">
        <v>0</v>
      </c>
      <c r="X245">
        <v>0</v>
      </c>
      <c r="Y245">
        <v>0</v>
      </c>
      <c r="Z245">
        <v>86274.98</v>
      </c>
      <c r="AA245">
        <v>12922.79</v>
      </c>
      <c r="AB245">
        <v>101782.32</v>
      </c>
      <c r="AC245">
        <v>701522.63</v>
      </c>
      <c r="AD245">
        <v>1.1499999999999999</v>
      </c>
      <c r="AE245">
        <v>0.39</v>
      </c>
      <c r="AF245">
        <v>0.54</v>
      </c>
      <c r="AG245">
        <v>6.07</v>
      </c>
      <c r="AH245">
        <v>56220.84</v>
      </c>
      <c r="AI245">
        <v>23036.83</v>
      </c>
      <c r="AJ245">
        <v>69933.240000000005</v>
      </c>
      <c r="AK245">
        <v>1557728.64</v>
      </c>
      <c r="AL245">
        <v>86274.98</v>
      </c>
      <c r="AM245">
        <v>12922.79</v>
      </c>
      <c r="AN245">
        <v>101782.32</v>
      </c>
      <c r="AO245">
        <v>701522.63</v>
      </c>
      <c r="AP245">
        <v>405720.51</v>
      </c>
      <c r="AQ245">
        <v>87368.51</v>
      </c>
      <c r="AR245">
        <v>248915.9</v>
      </c>
      <c r="AS245">
        <v>-744659.64</v>
      </c>
      <c r="AT245">
        <v>36.740952</v>
      </c>
      <c r="AU245">
        <v>35.675464392000002</v>
      </c>
      <c r="AV245">
        <v>24089857.330697998</v>
      </c>
      <c r="AW245">
        <v>55828173.032499999</v>
      </c>
      <c r="AX245">
        <v>2.3174970389449898</v>
      </c>
      <c r="AY245">
        <v>672638.06839999999</v>
      </c>
      <c r="AZ245">
        <v>1.0192779904588101</v>
      </c>
      <c r="BA245">
        <v>744021.34146341402</v>
      </c>
      <c r="BB245">
        <v>1.12744819749679</v>
      </c>
      <c r="BC245">
        <v>25.540323900688001</v>
      </c>
    </row>
    <row r="246" spans="1:55" x14ac:dyDescent="0.2">
      <c r="A246" t="s">
        <v>539</v>
      </c>
      <c r="B246" t="s">
        <v>540</v>
      </c>
      <c r="C246">
        <v>545</v>
      </c>
      <c r="D246">
        <v>70</v>
      </c>
      <c r="E246">
        <v>70</v>
      </c>
      <c r="F246">
        <v>80</v>
      </c>
      <c r="G246">
        <v>115</v>
      </c>
      <c r="H246">
        <v>76</v>
      </c>
      <c r="I246">
        <v>956</v>
      </c>
      <c r="J246">
        <v>17017.7</v>
      </c>
      <c r="K246">
        <v>218476.62</v>
      </c>
      <c r="L246">
        <v>152933.63</v>
      </c>
      <c r="M246">
        <v>35518.910000000003</v>
      </c>
      <c r="N246">
        <v>103940.39</v>
      </c>
      <c r="O246">
        <v>273456.90000000002</v>
      </c>
      <c r="P246">
        <v>8685000</v>
      </c>
      <c r="Q246">
        <v>45192.47</v>
      </c>
      <c r="R246">
        <v>5059.41</v>
      </c>
      <c r="S246">
        <v>103719.02</v>
      </c>
      <c r="T246">
        <v>474378.03</v>
      </c>
      <c r="U246">
        <v>68</v>
      </c>
      <c r="V246">
        <v>23777.34</v>
      </c>
      <c r="W246">
        <v>8350.3700000000008</v>
      </c>
      <c r="X246">
        <v>26331.13</v>
      </c>
      <c r="Y246">
        <v>115621.02</v>
      </c>
      <c r="Z246">
        <v>45192.47</v>
      </c>
      <c r="AA246">
        <v>5059.41</v>
      </c>
      <c r="AB246">
        <v>103719.02</v>
      </c>
      <c r="AC246">
        <v>474378.03</v>
      </c>
      <c r="AD246">
        <v>1.2</v>
      </c>
      <c r="AE246">
        <v>0.94</v>
      </c>
      <c r="AF246">
        <v>1.68</v>
      </c>
      <c r="AG246">
        <v>1.82</v>
      </c>
      <c r="AH246">
        <v>0</v>
      </c>
      <c r="AI246">
        <v>0</v>
      </c>
      <c r="AJ246">
        <v>0</v>
      </c>
      <c r="AK246">
        <v>0</v>
      </c>
      <c r="AL246">
        <v>68969.81</v>
      </c>
      <c r="AM246">
        <v>13409.78</v>
      </c>
      <c r="AN246">
        <v>130050.15</v>
      </c>
      <c r="AO246">
        <v>589999.05000000005</v>
      </c>
      <c r="AP246">
        <v>129156.29</v>
      </c>
      <c r="AQ246">
        <v>27168.54</v>
      </c>
      <c r="AR246">
        <v>77609.259999999995</v>
      </c>
      <c r="AS246">
        <v>157835.88</v>
      </c>
      <c r="AT246">
        <v>30.844256000000001</v>
      </c>
      <c r="AU246">
        <v>29.949772576000001</v>
      </c>
      <c r="AV246">
        <v>6722975.1989976</v>
      </c>
      <c r="AW246">
        <v>32876285.850000001</v>
      </c>
      <c r="AX246">
        <v>4.8901393916940004</v>
      </c>
      <c r="AY246">
        <v>219868.68400000001</v>
      </c>
      <c r="AZ246">
        <v>1.0063716840731001</v>
      </c>
      <c r="BA246">
        <v>253007.31707317001</v>
      </c>
      <c r="BB246">
        <v>1.15805213882002</v>
      </c>
      <c r="BC246">
        <v>23.004474118034899</v>
      </c>
    </row>
    <row r="247" spans="1:55" x14ac:dyDescent="0.2">
      <c r="A247" t="s">
        <v>541</v>
      </c>
      <c r="B247" t="s">
        <v>542</v>
      </c>
      <c r="C247">
        <v>1300</v>
      </c>
      <c r="D247">
        <v>120</v>
      </c>
      <c r="E247">
        <v>300</v>
      </c>
      <c r="F247">
        <v>430</v>
      </c>
      <c r="G247">
        <v>260</v>
      </c>
      <c r="H247">
        <v>200</v>
      </c>
      <c r="I247">
        <v>2610</v>
      </c>
      <c r="J247">
        <v>45627.82</v>
      </c>
      <c r="K247">
        <v>576188.99</v>
      </c>
      <c r="L247">
        <v>403332.29</v>
      </c>
      <c r="M247">
        <v>94748.33</v>
      </c>
      <c r="N247">
        <v>259921.36</v>
      </c>
      <c r="O247">
        <v>641451.6</v>
      </c>
      <c r="P247">
        <v>31040000</v>
      </c>
      <c r="Q247">
        <v>29557.439999999999</v>
      </c>
      <c r="R247">
        <v>10642.13</v>
      </c>
      <c r="S247">
        <v>58204.12</v>
      </c>
      <c r="T247">
        <v>482093.99</v>
      </c>
      <c r="U247">
        <v>82</v>
      </c>
      <c r="V247">
        <v>48883.08</v>
      </c>
      <c r="W247">
        <v>8800.8799999999992</v>
      </c>
      <c r="X247">
        <v>18223.64</v>
      </c>
      <c r="Y247">
        <v>1694088</v>
      </c>
      <c r="Z247">
        <v>29557.439999999999</v>
      </c>
      <c r="AA247">
        <v>10642.13</v>
      </c>
      <c r="AB247">
        <v>58204.12</v>
      </c>
      <c r="AC247">
        <v>482093.99</v>
      </c>
      <c r="AD247">
        <v>1.27</v>
      </c>
      <c r="AE247">
        <v>0.94</v>
      </c>
      <c r="AF247">
        <v>0.94</v>
      </c>
      <c r="AG247">
        <v>6.33</v>
      </c>
      <c r="AH247">
        <v>46099.199999999997</v>
      </c>
      <c r="AI247">
        <v>8467.2000000000007</v>
      </c>
      <c r="AJ247">
        <v>19286.400000000001</v>
      </c>
      <c r="AK247">
        <v>0</v>
      </c>
      <c r="AL247">
        <v>78440.52</v>
      </c>
      <c r="AM247">
        <v>19443.009999999998</v>
      </c>
      <c r="AN247">
        <v>76427.759999999995</v>
      </c>
      <c r="AO247">
        <v>2176181.9900000002</v>
      </c>
      <c r="AP247">
        <v>308350.00999999902</v>
      </c>
      <c r="AQ247">
        <v>77480.25</v>
      </c>
      <c r="AR247">
        <v>222411.31999999899</v>
      </c>
      <c r="AS247">
        <v>-1052636.3999999999</v>
      </c>
      <c r="AT247">
        <v>37.194544</v>
      </c>
      <c r="AU247">
        <v>36.115902224000003</v>
      </c>
      <c r="AV247">
        <v>18718872.122699201</v>
      </c>
      <c r="AW247">
        <v>117499126.40000001</v>
      </c>
      <c r="AX247">
        <v>6.2770409258534396</v>
      </c>
      <c r="AY247">
        <v>589511.43440000003</v>
      </c>
      <c r="AZ247">
        <v>1.0231216573575901</v>
      </c>
      <c r="BA247">
        <v>636257.31707316998</v>
      </c>
      <c r="BB247">
        <v>1.1042510844804001</v>
      </c>
      <c r="BC247">
        <v>24.592357302484501</v>
      </c>
    </row>
    <row r="248" spans="1:55" x14ac:dyDescent="0.2">
      <c r="A248" t="s">
        <v>543</v>
      </c>
      <c r="B248" t="s">
        <v>544</v>
      </c>
      <c r="C248">
        <v>1058</v>
      </c>
      <c r="D248">
        <v>0</v>
      </c>
      <c r="E248">
        <v>296</v>
      </c>
      <c r="F248">
        <v>296</v>
      </c>
      <c r="G248">
        <v>0</v>
      </c>
      <c r="H248">
        <v>0</v>
      </c>
      <c r="I248">
        <v>1650</v>
      </c>
      <c r="J248">
        <v>33140.15</v>
      </c>
      <c r="K248">
        <v>418650.63</v>
      </c>
      <c r="L248">
        <v>293055.44</v>
      </c>
      <c r="M248">
        <v>70966.399999999994</v>
      </c>
      <c r="N248">
        <v>205959.92</v>
      </c>
      <c r="O248">
        <v>499524.12</v>
      </c>
      <c r="P248">
        <v>21756000</v>
      </c>
      <c r="Q248">
        <v>85862.79</v>
      </c>
      <c r="R248">
        <v>8394.94</v>
      </c>
      <c r="S248">
        <v>121242.33</v>
      </c>
      <c r="T248">
        <v>1010754.33</v>
      </c>
      <c r="U248">
        <v>74</v>
      </c>
      <c r="V248">
        <v>73504.02</v>
      </c>
      <c r="W248">
        <v>18334.45</v>
      </c>
      <c r="X248">
        <v>72575.86</v>
      </c>
      <c r="Y248">
        <v>1677537.94</v>
      </c>
      <c r="Z248">
        <v>85862.79</v>
      </c>
      <c r="AA248">
        <v>8394.94</v>
      </c>
      <c r="AB248">
        <v>121242.33</v>
      </c>
      <c r="AC248">
        <v>1010754.33</v>
      </c>
      <c r="AD248">
        <v>1.02</v>
      </c>
      <c r="AE248">
        <v>0.97</v>
      </c>
      <c r="AF248">
        <v>0.94</v>
      </c>
      <c r="AG248">
        <v>3.24</v>
      </c>
      <c r="AH248">
        <v>0</v>
      </c>
      <c r="AI248">
        <v>0</v>
      </c>
      <c r="AJ248">
        <v>0</v>
      </c>
      <c r="AK248">
        <v>0</v>
      </c>
      <c r="AL248">
        <v>159366.81</v>
      </c>
      <c r="AM248">
        <v>26729.39</v>
      </c>
      <c r="AN248">
        <v>193818.19</v>
      </c>
      <c r="AO248">
        <v>2688292.27</v>
      </c>
      <c r="AP248">
        <v>219551.41999999899</v>
      </c>
      <c r="AQ248">
        <v>52631.95</v>
      </c>
      <c r="AR248">
        <v>133384.06</v>
      </c>
      <c r="AS248">
        <v>-1178013.82</v>
      </c>
      <c r="AT248">
        <v>33.565807999999997</v>
      </c>
      <c r="AU248">
        <v>32.592399567999998</v>
      </c>
      <c r="AV248">
        <v>12586206.9411745</v>
      </c>
      <c r="AW248">
        <v>82355379.959999993</v>
      </c>
      <c r="AX248">
        <v>6.5433041380069996</v>
      </c>
      <c r="AY248">
        <v>428170.73800000001</v>
      </c>
      <c r="AZ248">
        <v>1.02273998250044</v>
      </c>
      <c r="BA248">
        <v>465223.65853658499</v>
      </c>
      <c r="BB248">
        <v>1.1112455713648</v>
      </c>
      <c r="BC248">
        <v>26.0007300317654</v>
      </c>
    </row>
    <row r="249" spans="1:55" x14ac:dyDescent="0.2">
      <c r="A249" t="s">
        <v>545</v>
      </c>
      <c r="B249" t="s">
        <v>546</v>
      </c>
      <c r="C249">
        <v>572</v>
      </c>
      <c r="D249">
        <v>75</v>
      </c>
      <c r="E249">
        <v>210</v>
      </c>
      <c r="F249">
        <v>200</v>
      </c>
      <c r="G249">
        <v>110</v>
      </c>
      <c r="H249">
        <v>0</v>
      </c>
      <c r="I249">
        <v>1167</v>
      </c>
      <c r="J249">
        <v>20462.57</v>
      </c>
      <c r="K249">
        <v>252500.23</v>
      </c>
      <c r="L249">
        <v>176750.16</v>
      </c>
      <c r="M249">
        <v>41702.47</v>
      </c>
      <c r="N249">
        <v>110597.06</v>
      </c>
      <c r="O249">
        <v>287357.58</v>
      </c>
      <c r="P249">
        <v>12060000</v>
      </c>
      <c r="Q249">
        <v>64469.13</v>
      </c>
      <c r="R249">
        <v>4818.34</v>
      </c>
      <c r="S249">
        <v>68710.06</v>
      </c>
      <c r="T249">
        <v>639984.73</v>
      </c>
      <c r="U249">
        <v>72</v>
      </c>
      <c r="V249">
        <v>75743.97</v>
      </c>
      <c r="W249">
        <v>22213.06</v>
      </c>
      <c r="X249">
        <v>74931.88</v>
      </c>
      <c r="Y249">
        <v>1456347.68</v>
      </c>
      <c r="Z249">
        <v>64469.13</v>
      </c>
      <c r="AA249">
        <v>4818.34</v>
      </c>
      <c r="AB249">
        <v>68710.06</v>
      </c>
      <c r="AC249">
        <v>639984.73</v>
      </c>
      <c r="AD249">
        <v>1</v>
      </c>
      <c r="AE249">
        <v>1.39</v>
      </c>
      <c r="AF249">
        <v>0.93</v>
      </c>
      <c r="AG249">
        <v>4.4000000000000004</v>
      </c>
      <c r="AH249">
        <v>0</v>
      </c>
      <c r="AI249">
        <v>0</v>
      </c>
      <c r="AJ249">
        <v>0</v>
      </c>
      <c r="AK249">
        <v>0</v>
      </c>
      <c r="AL249">
        <v>140213.1</v>
      </c>
      <c r="AM249">
        <v>27031.4</v>
      </c>
      <c r="AN249">
        <v>143641.94</v>
      </c>
      <c r="AO249">
        <v>2096332.41</v>
      </c>
      <c r="AP249">
        <v>101006.19</v>
      </c>
      <c r="AQ249">
        <v>19489.409999999902</v>
      </c>
      <c r="AR249">
        <v>35665.179999999898</v>
      </c>
      <c r="AS249">
        <v>-1168990.0999999901</v>
      </c>
      <c r="AT249">
        <v>32.658624000000003</v>
      </c>
      <c r="AU249">
        <v>31.711523904</v>
      </c>
      <c r="AV249">
        <v>7488834.92754912</v>
      </c>
      <c r="AW249">
        <v>45652044.600000001</v>
      </c>
      <c r="AX249">
        <v>6.09601427213466</v>
      </c>
      <c r="AY249">
        <v>264376.4044</v>
      </c>
      <c r="AZ249">
        <v>1.0470343112162701</v>
      </c>
      <c r="BA249">
        <v>295801.34146341402</v>
      </c>
      <c r="BB249">
        <v>1.1714893941419899</v>
      </c>
      <c r="BC249">
        <v>24.4403929851137</v>
      </c>
    </row>
    <row r="250" spans="1:55" x14ac:dyDescent="0.2">
      <c r="A250" t="s">
        <v>547</v>
      </c>
      <c r="B250" t="s">
        <v>548</v>
      </c>
      <c r="C250">
        <v>360</v>
      </c>
      <c r="D250">
        <v>50</v>
      </c>
      <c r="E250">
        <v>20</v>
      </c>
      <c r="F250">
        <v>475</v>
      </c>
      <c r="G250">
        <v>42</v>
      </c>
      <c r="H250">
        <v>0</v>
      </c>
      <c r="I250">
        <v>947</v>
      </c>
      <c r="J250">
        <v>14600.95</v>
      </c>
      <c r="K250">
        <v>179473.9</v>
      </c>
      <c r="L250">
        <v>125631.73</v>
      </c>
      <c r="M250">
        <v>29827.48</v>
      </c>
      <c r="N250">
        <v>69132.210000000006</v>
      </c>
      <c r="O250">
        <v>181499.4</v>
      </c>
      <c r="P250">
        <v>8616000</v>
      </c>
      <c r="Q250">
        <v>45399.47</v>
      </c>
      <c r="R250">
        <v>3536.86</v>
      </c>
      <c r="S250">
        <v>58405.65</v>
      </c>
      <c r="T250">
        <v>377375.59</v>
      </c>
      <c r="U250">
        <v>70</v>
      </c>
      <c r="V250">
        <v>0</v>
      </c>
      <c r="W250">
        <v>0</v>
      </c>
      <c r="X250">
        <v>0</v>
      </c>
      <c r="Y250">
        <v>0</v>
      </c>
      <c r="Z250">
        <v>29159.57</v>
      </c>
      <c r="AA250">
        <v>2259.64</v>
      </c>
      <c r="AB250">
        <v>36516.449999999997</v>
      </c>
      <c r="AC250">
        <v>238777.82</v>
      </c>
      <c r="AD250">
        <v>1.08</v>
      </c>
      <c r="AE250">
        <v>0.27</v>
      </c>
      <c r="AF250">
        <v>1.24</v>
      </c>
      <c r="AG250">
        <v>2.2200000000000002</v>
      </c>
      <c r="AH250">
        <v>85110.32</v>
      </c>
      <c r="AI250">
        <v>38479.019999999997</v>
      </c>
      <c r="AJ250">
        <v>122545.96</v>
      </c>
      <c r="AK250">
        <v>2616755.33</v>
      </c>
      <c r="AL250">
        <v>29159.57</v>
      </c>
      <c r="AM250">
        <v>2259.64</v>
      </c>
      <c r="AN250">
        <v>36516.449999999997</v>
      </c>
      <c r="AO250">
        <v>238777.82</v>
      </c>
      <c r="AP250">
        <v>56761.31</v>
      </c>
      <c r="AQ250">
        <v>-7374.32</v>
      </c>
      <c r="AR250">
        <v>-31524.549999999901</v>
      </c>
      <c r="AS250">
        <v>-2296658.16</v>
      </c>
      <c r="AT250">
        <v>31.751439999999999</v>
      </c>
      <c r="AU250">
        <v>30.830648239999999</v>
      </c>
      <c r="AV250">
        <v>4613806.5091159996</v>
      </c>
      <c r="AW250">
        <v>32615092.559999999</v>
      </c>
      <c r="AX250">
        <v>7.0690204488547099</v>
      </c>
      <c r="AY250">
        <v>188644.274</v>
      </c>
      <c r="AZ250">
        <v>1.0510958640782799</v>
      </c>
      <c r="BA250">
        <v>217620.12195121899</v>
      </c>
      <c r="BB250">
        <v>1.2125446761407599</v>
      </c>
      <c r="BC250">
        <v>24.075566056706201</v>
      </c>
    </row>
    <row r="251" spans="1:55" x14ac:dyDescent="0.2">
      <c r="A251" t="s">
        <v>549</v>
      </c>
      <c r="B251" t="s">
        <v>550</v>
      </c>
      <c r="C251">
        <v>4000</v>
      </c>
      <c r="D251">
        <v>750</v>
      </c>
      <c r="E251">
        <v>1400</v>
      </c>
      <c r="F251">
        <v>500</v>
      </c>
      <c r="G251">
        <v>1400</v>
      </c>
      <c r="H251">
        <v>0</v>
      </c>
      <c r="I251">
        <v>8050</v>
      </c>
      <c r="J251">
        <v>138801.93</v>
      </c>
      <c r="K251">
        <v>1747295.11</v>
      </c>
      <c r="L251">
        <v>1223106.58</v>
      </c>
      <c r="M251">
        <v>283784.26</v>
      </c>
      <c r="N251">
        <v>773406.04</v>
      </c>
      <c r="O251">
        <v>2061495</v>
      </c>
      <c r="P251">
        <v>119863200</v>
      </c>
      <c r="Q251">
        <v>398165.49</v>
      </c>
      <c r="R251">
        <v>63359.73</v>
      </c>
      <c r="S251">
        <v>870801.1</v>
      </c>
      <c r="T251">
        <v>4251842.3600000003</v>
      </c>
      <c r="U251">
        <v>72</v>
      </c>
      <c r="V251">
        <v>115260.14</v>
      </c>
      <c r="W251">
        <v>59862.99</v>
      </c>
      <c r="X251">
        <v>241223.44</v>
      </c>
      <c r="Y251">
        <v>0</v>
      </c>
      <c r="Z251">
        <v>398165.49</v>
      </c>
      <c r="AA251">
        <v>63359.73</v>
      </c>
      <c r="AB251">
        <v>870801.1</v>
      </c>
      <c r="AC251">
        <v>4251842.3600000003</v>
      </c>
      <c r="AD251">
        <v>1.1200000000000001</v>
      </c>
      <c r="AE251">
        <v>1.46</v>
      </c>
      <c r="AF251">
        <v>2.2000000000000002</v>
      </c>
      <c r="AG251">
        <v>2.06</v>
      </c>
      <c r="AH251">
        <v>316053.92</v>
      </c>
      <c r="AI251">
        <v>83007.570000000007</v>
      </c>
      <c r="AJ251">
        <v>420247.52</v>
      </c>
      <c r="AK251">
        <v>0</v>
      </c>
      <c r="AL251">
        <v>513425.63</v>
      </c>
      <c r="AM251">
        <v>123222.72</v>
      </c>
      <c r="AN251">
        <v>1112024.54</v>
      </c>
      <c r="AO251">
        <v>4251842.3600000003</v>
      </c>
      <c r="AP251">
        <v>791792.52</v>
      </c>
      <c r="AQ251">
        <v>140913.69999999899</v>
      </c>
      <c r="AR251">
        <v>111935.08</v>
      </c>
      <c r="AS251">
        <v>2061495</v>
      </c>
      <c r="AT251">
        <v>32.658624000000003</v>
      </c>
      <c r="AU251">
        <v>31.711523904</v>
      </c>
      <c r="AV251">
        <v>54979854.568559997</v>
      </c>
      <c r="AW251">
        <v>453731355.912</v>
      </c>
      <c r="AX251">
        <v>8.2526838143268595</v>
      </c>
      <c r="AY251">
        <v>1793320.9356</v>
      </c>
      <c r="AZ251">
        <v>1.0263411860632901</v>
      </c>
      <c r="BA251">
        <v>2049786.58536585</v>
      </c>
      <c r="BB251">
        <v>1.17311985458818</v>
      </c>
      <c r="BC251">
        <v>23.299402784032701</v>
      </c>
    </row>
    <row r="252" spans="1:55" x14ac:dyDescent="0.2">
      <c r="A252" t="s">
        <v>551</v>
      </c>
      <c r="B252" t="s">
        <v>552</v>
      </c>
      <c r="C252">
        <v>0</v>
      </c>
      <c r="D252">
        <v>313</v>
      </c>
      <c r="E252">
        <v>634</v>
      </c>
      <c r="F252">
        <v>0</v>
      </c>
      <c r="G252">
        <v>0</v>
      </c>
      <c r="H252">
        <v>0</v>
      </c>
      <c r="I252">
        <v>947</v>
      </c>
      <c r="J252">
        <v>10268.19</v>
      </c>
      <c r="K252">
        <v>117610.44</v>
      </c>
      <c r="L252">
        <v>82327.31</v>
      </c>
      <c r="M252">
        <v>17770.759999999998</v>
      </c>
      <c r="N252">
        <v>1</v>
      </c>
      <c r="O252">
        <v>72171.539999999994</v>
      </c>
      <c r="P252">
        <v>20100000</v>
      </c>
      <c r="Q252">
        <v>49985.68</v>
      </c>
      <c r="R252">
        <v>8736</v>
      </c>
      <c r="S252">
        <v>72376.44</v>
      </c>
      <c r="T252">
        <v>743543.51</v>
      </c>
      <c r="U252">
        <v>1</v>
      </c>
      <c r="V252">
        <v>27266.47</v>
      </c>
      <c r="W252">
        <v>7724.44</v>
      </c>
      <c r="X252">
        <v>14706.53</v>
      </c>
      <c r="Y252">
        <v>512094.59</v>
      </c>
      <c r="Z252">
        <v>49985.68</v>
      </c>
      <c r="AA252">
        <v>8736</v>
      </c>
      <c r="AB252">
        <v>72376.44</v>
      </c>
      <c r="AC252">
        <v>743543.51</v>
      </c>
      <c r="AD252">
        <v>1.1200000000000001</v>
      </c>
      <c r="AE252">
        <v>1.24</v>
      </c>
      <c r="AF252">
        <v>0.93</v>
      </c>
      <c r="AG252">
        <v>4.76</v>
      </c>
      <c r="AH252">
        <v>0</v>
      </c>
      <c r="AI252">
        <v>0</v>
      </c>
      <c r="AJ252">
        <v>0</v>
      </c>
      <c r="AK252">
        <v>0</v>
      </c>
      <c r="AL252">
        <v>77252.149999999994</v>
      </c>
      <c r="AM252">
        <v>16460.439999999999</v>
      </c>
      <c r="AN252">
        <v>87082.97</v>
      </c>
      <c r="AO252">
        <v>1255638.1000000001</v>
      </c>
      <c r="AP252">
        <v>55060.84</v>
      </c>
      <c r="AQ252">
        <v>10046.32</v>
      </c>
      <c r="AR252">
        <v>-14705.529999999901</v>
      </c>
      <c r="AS252">
        <v>-439923.05</v>
      </c>
      <c r="AT252">
        <v>0.453592</v>
      </c>
      <c r="AU252">
        <v>0.44043783199999997</v>
      </c>
      <c r="AV252">
        <v>50317.820116839997</v>
      </c>
      <c r="AW252">
        <v>76086741</v>
      </c>
      <c r="AX252">
        <v>1512.1231568323799</v>
      </c>
      <c r="AY252">
        <v>132665.0148</v>
      </c>
      <c r="AZ252">
        <v>1.12800372824045</v>
      </c>
      <c r="BA252">
        <v>198907.19512195099</v>
      </c>
      <c r="BB252">
        <v>1.6912375731436</v>
      </c>
      <c r="BC252">
        <v>18.8424020946157</v>
      </c>
    </row>
    <row r="253" spans="1:55" x14ac:dyDescent="0.2">
      <c r="A253" t="s">
        <v>553</v>
      </c>
      <c r="B253" t="s">
        <v>554</v>
      </c>
      <c r="C253">
        <v>1250</v>
      </c>
      <c r="D253">
        <v>50</v>
      </c>
      <c r="E253">
        <v>450</v>
      </c>
      <c r="F253">
        <v>400</v>
      </c>
      <c r="G253">
        <v>320</v>
      </c>
      <c r="H253">
        <v>205</v>
      </c>
      <c r="I253">
        <v>2675</v>
      </c>
      <c r="J253">
        <v>44463.21</v>
      </c>
      <c r="K253">
        <v>556543.99</v>
      </c>
      <c r="L253">
        <v>389580.79</v>
      </c>
      <c r="M253">
        <v>91501.7</v>
      </c>
      <c r="N253">
        <v>248277.39</v>
      </c>
      <c r="O253">
        <v>601704</v>
      </c>
      <c r="P253">
        <v>13955991</v>
      </c>
      <c r="Q253">
        <v>77928.070000000007</v>
      </c>
      <c r="R253">
        <v>9023.7000000000007</v>
      </c>
      <c r="S253">
        <v>99134.32</v>
      </c>
      <c r="T253">
        <v>640839.41</v>
      </c>
      <c r="U253">
        <v>80</v>
      </c>
      <c r="V253">
        <v>52217.88</v>
      </c>
      <c r="W253">
        <v>17917.900000000001</v>
      </c>
      <c r="X253">
        <v>48890.27</v>
      </c>
      <c r="Y253">
        <v>0</v>
      </c>
      <c r="Z253">
        <v>120322.2</v>
      </c>
      <c r="AA253">
        <v>13503.12</v>
      </c>
      <c r="AB253">
        <v>166221.68</v>
      </c>
      <c r="AC253">
        <v>1162919.6599999999</v>
      </c>
      <c r="AD253">
        <v>1.18</v>
      </c>
      <c r="AE253">
        <v>1.08</v>
      </c>
      <c r="AF253">
        <v>1.1100000000000001</v>
      </c>
      <c r="AG253">
        <v>2.02</v>
      </c>
      <c r="AH253">
        <v>36516</v>
      </c>
      <c r="AI253">
        <v>12530</v>
      </c>
      <c r="AJ253">
        <v>34189</v>
      </c>
      <c r="AK253">
        <v>0</v>
      </c>
      <c r="AL253">
        <v>172540.08</v>
      </c>
      <c r="AM253">
        <v>31421.02</v>
      </c>
      <c r="AN253">
        <v>215111.94999999899</v>
      </c>
      <c r="AO253">
        <v>1162919.6599999999</v>
      </c>
      <c r="AP253">
        <v>258452.78</v>
      </c>
      <c r="AQ253">
        <v>56574.379999999903</v>
      </c>
      <c r="AR253">
        <v>98110.76</v>
      </c>
      <c r="AS253">
        <v>79623.750000000204</v>
      </c>
      <c r="AT253">
        <v>36.28736</v>
      </c>
      <c r="AU253">
        <v>35.235026560000001</v>
      </c>
      <c r="AV253">
        <v>16719020.10272</v>
      </c>
      <c r="AW253">
        <v>52829147.891309999</v>
      </c>
      <c r="AX253">
        <v>3.1598232173137499</v>
      </c>
      <c r="AY253">
        <v>574464.67319999996</v>
      </c>
      <c r="AZ253">
        <v>1.03219994020598</v>
      </c>
      <c r="BA253">
        <v>611375</v>
      </c>
      <c r="BB253">
        <v>1.09852053204275</v>
      </c>
      <c r="BC253">
        <v>24.6600150152181</v>
      </c>
    </row>
    <row r="254" spans="1:55" x14ac:dyDescent="0.2">
      <c r="A254" t="s">
        <v>555</v>
      </c>
      <c r="B254" t="s">
        <v>556</v>
      </c>
      <c r="C254">
        <v>800</v>
      </c>
      <c r="D254">
        <v>170</v>
      </c>
      <c r="E254">
        <v>100</v>
      </c>
      <c r="F254">
        <v>0</v>
      </c>
      <c r="G254">
        <v>0</v>
      </c>
      <c r="H254">
        <v>0</v>
      </c>
      <c r="I254">
        <v>1070</v>
      </c>
      <c r="J254">
        <v>24874</v>
      </c>
      <c r="K254">
        <v>319512.61</v>
      </c>
      <c r="L254">
        <v>223658.83</v>
      </c>
      <c r="M254">
        <v>53074.31</v>
      </c>
      <c r="N254">
        <v>157843.45000000001</v>
      </c>
      <c r="O254">
        <v>416910.6</v>
      </c>
      <c r="P254">
        <v>12865200</v>
      </c>
      <c r="Q254">
        <v>59036.92</v>
      </c>
      <c r="R254">
        <v>8617.73</v>
      </c>
      <c r="S254">
        <v>89426.52</v>
      </c>
      <c r="T254">
        <v>435495.34</v>
      </c>
      <c r="U254">
        <v>78</v>
      </c>
      <c r="V254">
        <v>50228.84</v>
      </c>
      <c r="W254">
        <v>9643.82</v>
      </c>
      <c r="X254">
        <v>62662.75</v>
      </c>
      <c r="Y254">
        <v>993279.24</v>
      </c>
      <c r="Z254">
        <v>73438.55</v>
      </c>
      <c r="AA254">
        <v>10072.61</v>
      </c>
      <c r="AB254">
        <v>109649.79</v>
      </c>
      <c r="AC254">
        <v>502088.44</v>
      </c>
      <c r="AD254">
        <v>1.01</v>
      </c>
      <c r="AE254">
        <v>1.08</v>
      </c>
      <c r="AF254">
        <v>1.07</v>
      </c>
      <c r="AG254">
        <v>2.9</v>
      </c>
      <c r="AH254">
        <v>95473.77</v>
      </c>
      <c r="AI254">
        <v>33826.230000000003</v>
      </c>
      <c r="AJ254">
        <v>117074.17</v>
      </c>
      <c r="AK254">
        <v>1984649.13</v>
      </c>
      <c r="AL254">
        <v>123667.39</v>
      </c>
      <c r="AM254">
        <v>19716.43</v>
      </c>
      <c r="AN254">
        <v>172312.53999999899</v>
      </c>
      <c r="AO254">
        <v>1495367.6799999999</v>
      </c>
      <c r="AP254">
        <v>63554.589999999902</v>
      </c>
      <c r="AQ254">
        <v>8149.3799999999901</v>
      </c>
      <c r="AR254">
        <v>-42116.739999999903</v>
      </c>
      <c r="AS254">
        <v>-2627610.87</v>
      </c>
      <c r="AT254">
        <v>35.380175999999999</v>
      </c>
      <c r="AU254">
        <v>34.354150896</v>
      </c>
      <c r="AV254">
        <v>12163087.124728801</v>
      </c>
      <c r="AW254">
        <v>48700056.732000001</v>
      </c>
      <c r="AX254">
        <v>4.0039223786359104</v>
      </c>
      <c r="AY254">
        <v>321372.08</v>
      </c>
      <c r="AZ254">
        <v>1.00581970771044</v>
      </c>
      <c r="BA254">
        <v>367403.65853658499</v>
      </c>
      <c r="BB254">
        <v>1.1498878198784801</v>
      </c>
      <c r="BC254">
        <v>24.7112672643566</v>
      </c>
    </row>
    <row r="255" spans="1:55" x14ac:dyDescent="0.2">
      <c r="A255" t="s">
        <v>314</v>
      </c>
      <c r="C255">
        <v>473</v>
      </c>
      <c r="D255">
        <v>47</v>
      </c>
      <c r="E255">
        <v>0</v>
      </c>
      <c r="F255">
        <v>0</v>
      </c>
      <c r="G255">
        <v>0</v>
      </c>
      <c r="H255">
        <v>0</v>
      </c>
      <c r="I255">
        <v>520</v>
      </c>
      <c r="J255">
        <v>13837.48</v>
      </c>
      <c r="K255">
        <v>176234.8</v>
      </c>
      <c r="L255">
        <v>123364.36</v>
      </c>
      <c r="M255">
        <v>29514.19</v>
      </c>
      <c r="N255">
        <v>90832.04</v>
      </c>
      <c r="O255">
        <v>234159.48</v>
      </c>
      <c r="P255">
        <v>5730000</v>
      </c>
      <c r="Q255">
        <v>22984.71</v>
      </c>
      <c r="R255">
        <v>3800.81</v>
      </c>
      <c r="S255">
        <v>27966.85</v>
      </c>
      <c r="T255">
        <v>159272.67000000001</v>
      </c>
      <c r="U255">
        <v>70</v>
      </c>
      <c r="V255">
        <v>13616.93</v>
      </c>
      <c r="W255">
        <v>19863.23</v>
      </c>
      <c r="X255">
        <v>4997.04</v>
      </c>
      <c r="Y255">
        <v>0</v>
      </c>
      <c r="Z255">
        <v>22984.71</v>
      </c>
      <c r="AA255">
        <v>3800.81</v>
      </c>
      <c r="AB255">
        <v>27966.85</v>
      </c>
      <c r="AC255">
        <v>159272.67000000001</v>
      </c>
      <c r="AD255">
        <v>1.4</v>
      </c>
      <c r="AE255">
        <v>5.32</v>
      </c>
      <c r="AF255">
        <v>0.84</v>
      </c>
      <c r="AG255">
        <v>1.19</v>
      </c>
      <c r="AH255">
        <v>0</v>
      </c>
      <c r="AI255">
        <v>0</v>
      </c>
      <c r="AJ255">
        <v>0</v>
      </c>
      <c r="AK255">
        <v>0</v>
      </c>
      <c r="AL255">
        <v>36601.64</v>
      </c>
      <c r="AM255">
        <v>23664.04</v>
      </c>
      <c r="AN255">
        <v>32963.89</v>
      </c>
      <c r="AO255">
        <v>159272.67000000001</v>
      </c>
      <c r="AP255">
        <v>109747.43</v>
      </c>
      <c r="AQ255">
        <v>9650.9599999999991</v>
      </c>
      <c r="AR255">
        <v>85834.999999999898</v>
      </c>
      <c r="AS255">
        <v>234159.48</v>
      </c>
      <c r="AT255">
        <v>31.751439999999999</v>
      </c>
      <c r="AU255">
        <v>30.830648239999999</v>
      </c>
      <c r="AV255">
        <v>5851657.0359519999</v>
      </c>
      <c r="AW255">
        <v>21690399.300000001</v>
      </c>
      <c r="AX255">
        <v>3.7067106234586702</v>
      </c>
      <c r="AY255">
        <v>178780.24159999899</v>
      </c>
      <c r="AZ255">
        <v>1.01444346746499</v>
      </c>
      <c r="BA255">
        <v>189800</v>
      </c>
      <c r="BB255">
        <v>1.07697231193839</v>
      </c>
      <c r="BC255">
        <v>26.6105384615384</v>
      </c>
    </row>
    <row r="256" spans="1:55" x14ac:dyDescent="0.2">
      <c r="A256" t="s">
        <v>557</v>
      </c>
      <c r="B256" t="s">
        <v>558</v>
      </c>
      <c r="C256">
        <v>450</v>
      </c>
      <c r="D256">
        <v>50</v>
      </c>
      <c r="E256">
        <v>0</v>
      </c>
      <c r="F256">
        <v>0</v>
      </c>
      <c r="G256">
        <v>0</v>
      </c>
      <c r="H256">
        <v>0</v>
      </c>
      <c r="I256">
        <v>500</v>
      </c>
      <c r="J256">
        <v>12680.29</v>
      </c>
      <c r="K256">
        <v>165331.32</v>
      </c>
      <c r="L256">
        <v>115731.92</v>
      </c>
      <c r="M256">
        <v>27719.02</v>
      </c>
      <c r="N256">
        <v>88490.48</v>
      </c>
      <c r="O256">
        <v>223992</v>
      </c>
      <c r="P256">
        <v>4242000</v>
      </c>
      <c r="Q256">
        <v>20776.349999999999</v>
      </c>
      <c r="R256">
        <v>2375.69</v>
      </c>
      <c r="S256">
        <v>28909.119999999999</v>
      </c>
      <c r="T256">
        <v>90146.03</v>
      </c>
      <c r="U256">
        <v>77</v>
      </c>
      <c r="V256">
        <v>0</v>
      </c>
      <c r="W256">
        <v>0</v>
      </c>
      <c r="X256">
        <v>0</v>
      </c>
      <c r="Y256">
        <v>0</v>
      </c>
      <c r="Z256">
        <v>6374.71</v>
      </c>
      <c r="AA256">
        <v>920.81</v>
      </c>
      <c r="AB256">
        <v>8685.84</v>
      </c>
      <c r="AC256">
        <v>23552.93</v>
      </c>
      <c r="AD256">
        <v>1.21</v>
      </c>
      <c r="AE256">
        <v>1.03</v>
      </c>
      <c r="AF256">
        <v>1.23</v>
      </c>
      <c r="AG256">
        <v>1.44</v>
      </c>
      <c r="AH256">
        <v>82531.78</v>
      </c>
      <c r="AI256">
        <v>26867.69</v>
      </c>
      <c r="AJ256">
        <v>98974.47</v>
      </c>
      <c r="AK256">
        <v>1253042.1000000001</v>
      </c>
      <c r="AL256">
        <v>6374.71</v>
      </c>
      <c r="AM256">
        <v>920.81</v>
      </c>
      <c r="AN256">
        <v>8685.84</v>
      </c>
      <c r="AO256">
        <v>23552.93</v>
      </c>
      <c r="AP256">
        <v>47601.779999999897</v>
      </c>
      <c r="AQ256">
        <v>2306.20999999999</v>
      </c>
      <c r="AR256">
        <v>9739.28999999999</v>
      </c>
      <c r="AS256">
        <v>-962457</v>
      </c>
      <c r="AT256">
        <v>34.926583999999998</v>
      </c>
      <c r="AU256">
        <v>33.913713064</v>
      </c>
      <c r="AV256">
        <v>6189252.6341799898</v>
      </c>
      <c r="AW256">
        <v>16057709.220000001</v>
      </c>
      <c r="AX256">
        <v>2.5944504399968502</v>
      </c>
      <c r="AY256">
        <v>163829.3468</v>
      </c>
      <c r="AZ256">
        <v>0.99091537405011898</v>
      </c>
      <c r="BA256">
        <v>182500</v>
      </c>
      <c r="BB256">
        <v>1.1038440871336399</v>
      </c>
      <c r="BC256">
        <v>25.360579999999999</v>
      </c>
    </row>
    <row r="257" spans="1:55" x14ac:dyDescent="0.2">
      <c r="A257" t="s">
        <v>559</v>
      </c>
      <c r="B257" t="s">
        <v>560</v>
      </c>
      <c r="C257">
        <v>980</v>
      </c>
      <c r="D257">
        <v>110</v>
      </c>
      <c r="E257">
        <v>350</v>
      </c>
      <c r="F257">
        <v>350</v>
      </c>
      <c r="G257">
        <v>140</v>
      </c>
      <c r="H257">
        <v>0</v>
      </c>
      <c r="I257">
        <v>1930</v>
      </c>
      <c r="J257">
        <v>36365.29</v>
      </c>
      <c r="K257">
        <v>453646.38</v>
      </c>
      <c r="L257">
        <v>317552.46999999997</v>
      </c>
      <c r="M257">
        <v>75777.149999999994</v>
      </c>
      <c r="N257">
        <v>201105.71</v>
      </c>
      <c r="O257">
        <v>488061</v>
      </c>
      <c r="P257">
        <v>19076112</v>
      </c>
      <c r="Q257">
        <v>103342.99</v>
      </c>
      <c r="R257">
        <v>16160.27</v>
      </c>
      <c r="S257">
        <v>168612.5</v>
      </c>
      <c r="T257">
        <v>857946.34</v>
      </c>
      <c r="U257">
        <v>90</v>
      </c>
      <c r="V257">
        <v>0</v>
      </c>
      <c r="W257">
        <v>0</v>
      </c>
      <c r="X257">
        <v>0</v>
      </c>
      <c r="Y257">
        <v>0</v>
      </c>
      <c r="Z257">
        <v>103342.99</v>
      </c>
      <c r="AA257">
        <v>16160.27</v>
      </c>
      <c r="AB257">
        <v>168612.5</v>
      </c>
      <c r="AC257">
        <v>857946.34</v>
      </c>
      <c r="AD257">
        <v>1.31</v>
      </c>
      <c r="AE257">
        <v>0.88</v>
      </c>
      <c r="AF257">
        <v>1.46</v>
      </c>
      <c r="AG257">
        <v>2.4300000000000002</v>
      </c>
      <c r="AH257">
        <v>130048.19</v>
      </c>
      <c r="AI257">
        <v>33341.96</v>
      </c>
      <c r="AJ257">
        <v>169505.37</v>
      </c>
      <c r="AK257">
        <v>5746149.2000000002</v>
      </c>
      <c r="AL257">
        <v>103342.99</v>
      </c>
      <c r="AM257">
        <v>16160.27</v>
      </c>
      <c r="AN257">
        <v>168612.5</v>
      </c>
      <c r="AO257">
        <v>857946.34</v>
      </c>
      <c r="AP257">
        <v>187504.27999999901</v>
      </c>
      <c r="AQ257">
        <v>42435.1899999999</v>
      </c>
      <c r="AR257">
        <v>31600.339999999898</v>
      </c>
      <c r="AS257">
        <v>-5258088.2</v>
      </c>
      <c r="AT257">
        <v>40.823279999999997</v>
      </c>
      <c r="AU257">
        <v>39.639404879999901</v>
      </c>
      <c r="AV257">
        <v>15770537.231507899</v>
      </c>
      <c r="AW257">
        <v>72210905.125919998</v>
      </c>
      <c r="AX257">
        <v>4.5788487776846001</v>
      </c>
      <c r="AY257">
        <v>469839.54680000001</v>
      </c>
      <c r="AZ257">
        <v>1.0356955715154099</v>
      </c>
      <c r="BA257">
        <v>497557.31707316998</v>
      </c>
      <c r="BB257">
        <v>1.0967955196141299</v>
      </c>
      <c r="BC257">
        <v>26.025080991446998</v>
      </c>
    </row>
    <row r="258" spans="1:55" x14ac:dyDescent="0.2">
      <c r="A258" t="s">
        <v>561</v>
      </c>
      <c r="B258" t="s">
        <v>562</v>
      </c>
      <c r="C258">
        <v>500</v>
      </c>
      <c r="D258">
        <v>100</v>
      </c>
      <c r="E258">
        <v>640</v>
      </c>
      <c r="F258">
        <v>1025</v>
      </c>
      <c r="G258">
        <v>400</v>
      </c>
      <c r="H258">
        <v>400</v>
      </c>
      <c r="I258">
        <v>3065</v>
      </c>
      <c r="J258">
        <v>32893.64</v>
      </c>
      <c r="K258">
        <v>385882.87</v>
      </c>
      <c r="L258">
        <v>270118.01</v>
      </c>
      <c r="M258">
        <v>60594.17</v>
      </c>
      <c r="N258">
        <v>96016.95</v>
      </c>
      <c r="O258">
        <v>259128</v>
      </c>
      <c r="P258">
        <v>6768000</v>
      </c>
      <c r="Q258">
        <v>30498.639999999999</v>
      </c>
      <c r="R258">
        <v>626.91999999999996</v>
      </c>
      <c r="S258">
        <v>15136.36</v>
      </c>
      <c r="T258">
        <v>535420.54</v>
      </c>
      <c r="U258">
        <v>70</v>
      </c>
      <c r="V258">
        <v>98322.83</v>
      </c>
      <c r="W258">
        <v>51848.02</v>
      </c>
      <c r="X258">
        <v>283217.40000000002</v>
      </c>
      <c r="Y258">
        <v>0</v>
      </c>
      <c r="Z258">
        <v>30498.639999999999</v>
      </c>
      <c r="AA258">
        <v>626.91999999999996</v>
      </c>
      <c r="AB258">
        <v>15136.36</v>
      </c>
      <c r="AC258">
        <v>535420.54</v>
      </c>
      <c r="AD258">
        <v>1.1200000000000001</v>
      </c>
      <c r="AE258">
        <v>1.6</v>
      </c>
      <c r="AF258">
        <v>1.52</v>
      </c>
      <c r="AG258">
        <v>1.38</v>
      </c>
      <c r="AH258">
        <v>0</v>
      </c>
      <c r="AI258">
        <v>0</v>
      </c>
      <c r="AJ258">
        <v>0</v>
      </c>
      <c r="AK258">
        <v>0</v>
      </c>
      <c r="AL258">
        <v>128821.47</v>
      </c>
      <c r="AM258">
        <v>52474.9399999999</v>
      </c>
      <c r="AN258">
        <v>298353.76</v>
      </c>
      <c r="AO258">
        <v>535420.54</v>
      </c>
      <c r="AP258">
        <v>171795.18</v>
      </c>
      <c r="AQ258">
        <v>8746.15</v>
      </c>
      <c r="AR258">
        <v>-187200.45</v>
      </c>
      <c r="AS258">
        <v>259128</v>
      </c>
      <c r="AT258">
        <v>31.751439999999999</v>
      </c>
      <c r="AU258">
        <v>30.830648239999999</v>
      </c>
      <c r="AV258">
        <v>6751911.96455999</v>
      </c>
      <c r="AW258">
        <v>25619654.879999999</v>
      </c>
      <c r="AX258">
        <v>3.7944296392599002</v>
      </c>
      <c r="AY258">
        <v>424985.82880000002</v>
      </c>
      <c r="AZ258">
        <v>1.1013337513530901</v>
      </c>
      <c r="BA258">
        <v>476948.17073170701</v>
      </c>
      <c r="BB258">
        <v>1.2359920789738701</v>
      </c>
      <c r="BC258">
        <v>21.902383110028399</v>
      </c>
    </row>
    <row r="259" spans="1:55" x14ac:dyDescent="0.2">
      <c r="A259" t="s">
        <v>563</v>
      </c>
      <c r="B259" t="s">
        <v>564</v>
      </c>
      <c r="C259">
        <v>0</v>
      </c>
      <c r="D259">
        <v>0</v>
      </c>
      <c r="E259">
        <v>180</v>
      </c>
      <c r="F259">
        <v>110</v>
      </c>
      <c r="G259">
        <v>0</v>
      </c>
      <c r="H259">
        <v>0</v>
      </c>
      <c r="I259">
        <v>290</v>
      </c>
      <c r="J259">
        <v>2889.96</v>
      </c>
      <c r="K259">
        <v>27596.400000000001</v>
      </c>
      <c r="L259">
        <v>19317.48</v>
      </c>
      <c r="M259">
        <v>4670.16</v>
      </c>
      <c r="N259">
        <v>1</v>
      </c>
      <c r="O259">
        <v>0</v>
      </c>
      <c r="P259">
        <v>840000</v>
      </c>
      <c r="Q259">
        <v>1270.74</v>
      </c>
      <c r="R259">
        <v>454.51</v>
      </c>
      <c r="S259">
        <v>4742.55</v>
      </c>
      <c r="T259">
        <v>21165.01</v>
      </c>
      <c r="U259">
        <v>1</v>
      </c>
      <c r="V259">
        <v>51787.82</v>
      </c>
      <c r="W259">
        <v>21396.14</v>
      </c>
      <c r="X259">
        <v>111362.39</v>
      </c>
      <c r="Y259">
        <v>911184</v>
      </c>
      <c r="Z259">
        <v>1270.74</v>
      </c>
      <c r="AA259">
        <v>454.51</v>
      </c>
      <c r="AB259">
        <v>4742.55</v>
      </c>
      <c r="AC259">
        <v>21165.01</v>
      </c>
      <c r="AD259">
        <v>1.21</v>
      </c>
      <c r="AE259">
        <v>2.65</v>
      </c>
      <c r="AF259">
        <v>2.2200000000000002</v>
      </c>
      <c r="AG259">
        <v>5.19</v>
      </c>
      <c r="AH259">
        <v>0</v>
      </c>
      <c r="AI259">
        <v>0</v>
      </c>
      <c r="AJ259">
        <v>0</v>
      </c>
      <c r="AK259">
        <v>0</v>
      </c>
      <c r="AL259">
        <v>53058.559999999998</v>
      </c>
      <c r="AM259">
        <v>21850.6499999999</v>
      </c>
      <c r="AN259">
        <v>116104.94</v>
      </c>
      <c r="AO259">
        <v>932349.01</v>
      </c>
      <c r="AP259">
        <v>-32470.339999999898</v>
      </c>
      <c r="AQ259">
        <v>-16725.979999999901</v>
      </c>
      <c r="AR259">
        <v>-111361.39</v>
      </c>
      <c r="AS259">
        <v>-911184</v>
      </c>
      <c r="AT259">
        <v>0.453592</v>
      </c>
      <c r="AU259">
        <v>0.44043783199999997</v>
      </c>
      <c r="AV259">
        <v>0</v>
      </c>
      <c r="AW259">
        <v>3179744.4</v>
      </c>
      <c r="AY259">
        <v>37338.283199999998</v>
      </c>
      <c r="AZ259">
        <v>1.3530128277601401</v>
      </c>
      <c r="BA259">
        <v>38725.609756097503</v>
      </c>
      <c r="BB259">
        <v>1.40328483991018</v>
      </c>
      <c r="BC259">
        <v>27.2387034482758</v>
      </c>
    </row>
    <row r="260" spans="1:55" x14ac:dyDescent="0.2">
      <c r="A260" t="s">
        <v>565</v>
      </c>
      <c r="B260" t="s">
        <v>566</v>
      </c>
      <c r="C260">
        <v>333</v>
      </c>
      <c r="D260">
        <v>23</v>
      </c>
      <c r="E260">
        <v>300</v>
      </c>
      <c r="F260">
        <v>266</v>
      </c>
      <c r="G260">
        <v>100</v>
      </c>
      <c r="H260">
        <v>0</v>
      </c>
      <c r="I260">
        <v>1022</v>
      </c>
      <c r="J260">
        <v>15314.35</v>
      </c>
      <c r="K260">
        <v>180304.86</v>
      </c>
      <c r="L260">
        <v>126213.4</v>
      </c>
      <c r="M260">
        <v>29933.73</v>
      </c>
      <c r="N260">
        <v>66141.100000000006</v>
      </c>
      <c r="O260">
        <v>162525.96</v>
      </c>
      <c r="P260">
        <v>6975000</v>
      </c>
      <c r="Q260">
        <v>54370.76</v>
      </c>
      <c r="R260">
        <v>3105.03</v>
      </c>
      <c r="S260">
        <v>119308.05</v>
      </c>
      <c r="T260">
        <v>461685.46</v>
      </c>
      <c r="U260">
        <v>80</v>
      </c>
      <c r="V260">
        <v>114875.64</v>
      </c>
      <c r="W260">
        <v>43688.800000000003</v>
      </c>
      <c r="X260">
        <v>174453.08</v>
      </c>
      <c r="Y260">
        <v>2673639.2000000002</v>
      </c>
      <c r="Z260">
        <v>54370.76</v>
      </c>
      <c r="AA260">
        <v>3105.03</v>
      </c>
      <c r="AB260">
        <v>119308.05</v>
      </c>
      <c r="AC260">
        <v>461685.46</v>
      </c>
      <c r="AD260">
        <v>0.22</v>
      </c>
      <c r="AE260">
        <v>0.69</v>
      </c>
      <c r="AF260">
        <v>0.63</v>
      </c>
      <c r="AG260">
        <v>4.93</v>
      </c>
      <c r="AH260">
        <v>449494.5</v>
      </c>
      <c r="AI260">
        <v>121182.39999999999</v>
      </c>
      <c r="AJ260">
        <v>284844.5</v>
      </c>
      <c r="AK260">
        <v>6553070</v>
      </c>
      <c r="AL260">
        <v>169246.4</v>
      </c>
      <c r="AM260">
        <v>46793.83</v>
      </c>
      <c r="AN260">
        <v>293761.13</v>
      </c>
      <c r="AO260">
        <v>3135324.66</v>
      </c>
      <c r="AP260">
        <v>-438156.74</v>
      </c>
      <c r="AQ260">
        <v>-134937.47</v>
      </c>
      <c r="AR260">
        <v>-393156.48</v>
      </c>
      <c r="AS260">
        <v>-9064183.2400000002</v>
      </c>
      <c r="AT260">
        <v>36.28736</v>
      </c>
      <c r="AU260">
        <v>35.235026560000001</v>
      </c>
      <c r="AV260">
        <v>4578439.3512064004</v>
      </c>
      <c r="AW260">
        <v>26403234.75</v>
      </c>
      <c r="AX260">
        <v>5.76686349313393</v>
      </c>
      <c r="AY260">
        <v>197861.402</v>
      </c>
      <c r="AZ260">
        <v>1.0973714296996699</v>
      </c>
      <c r="BA260">
        <v>209972.92682926799</v>
      </c>
      <c r="BB260">
        <v>1.1645439109587401</v>
      </c>
      <c r="BC260">
        <v>25.538450744325999</v>
      </c>
    </row>
    <row r="261" spans="1:55" x14ac:dyDescent="0.2">
      <c r="A261" t="s">
        <v>567</v>
      </c>
      <c r="B261" t="s">
        <v>568</v>
      </c>
      <c r="C261">
        <v>1320</v>
      </c>
      <c r="D261">
        <v>170</v>
      </c>
      <c r="E261">
        <v>30</v>
      </c>
      <c r="F261">
        <v>0</v>
      </c>
      <c r="G261">
        <v>100</v>
      </c>
      <c r="H261">
        <v>325</v>
      </c>
      <c r="I261">
        <v>1945</v>
      </c>
      <c r="J261">
        <v>40484.019999999997</v>
      </c>
      <c r="K261">
        <v>530121.96</v>
      </c>
      <c r="L261">
        <v>371085.37</v>
      </c>
      <c r="M261">
        <v>86883.44</v>
      </c>
      <c r="N261">
        <v>266529</v>
      </c>
      <c r="O261">
        <v>662423.4</v>
      </c>
      <c r="P261">
        <v>19872000</v>
      </c>
      <c r="Q261">
        <v>99848.39</v>
      </c>
      <c r="R261">
        <v>9768.99</v>
      </c>
      <c r="S261">
        <v>74017.13</v>
      </c>
      <c r="T261">
        <v>1057539.49</v>
      </c>
      <c r="U261">
        <v>85</v>
      </c>
      <c r="V261">
        <v>295112.12</v>
      </c>
      <c r="W261">
        <v>121123.12</v>
      </c>
      <c r="X261">
        <v>414802.96</v>
      </c>
      <c r="Y261">
        <v>10009572.32</v>
      </c>
      <c r="Z261">
        <v>116088.3</v>
      </c>
      <c r="AA261">
        <v>11046.22</v>
      </c>
      <c r="AB261">
        <v>95906.33</v>
      </c>
      <c r="AC261">
        <v>1196137.25</v>
      </c>
      <c r="AD261">
        <v>0.9</v>
      </c>
      <c r="AE261">
        <v>2.1</v>
      </c>
      <c r="AF261">
        <v>1.1599999999999999</v>
      </c>
      <c r="AG261">
        <v>7.18</v>
      </c>
      <c r="AH261">
        <v>0</v>
      </c>
      <c r="AI261">
        <v>0</v>
      </c>
      <c r="AJ261">
        <v>0</v>
      </c>
      <c r="AK261">
        <v>0</v>
      </c>
      <c r="AL261">
        <v>411200.42</v>
      </c>
      <c r="AM261">
        <v>132169.34</v>
      </c>
      <c r="AN261">
        <v>510709.29</v>
      </c>
      <c r="AO261">
        <v>11205709.57</v>
      </c>
      <c r="AP261">
        <v>59733.34</v>
      </c>
      <c r="AQ261">
        <v>-35516.909999999902</v>
      </c>
      <c r="AR261">
        <v>-170163.16</v>
      </c>
      <c r="AS261">
        <v>-9485746.6799999997</v>
      </c>
      <c r="AT261">
        <v>38.555320000000002</v>
      </c>
      <c r="AU261">
        <v>37.437215719999998</v>
      </c>
      <c r="AV261">
        <v>20360229.769322</v>
      </c>
      <c r="AW261">
        <v>75223667.519999996</v>
      </c>
      <c r="AX261">
        <v>3.6946374560735098</v>
      </c>
      <c r="AY261">
        <v>523053.53839999897</v>
      </c>
      <c r="AZ261">
        <v>0.98666642370370705</v>
      </c>
      <c r="BA261">
        <v>566773.78048780398</v>
      </c>
      <c r="BB261">
        <v>1.0691384686040999</v>
      </c>
      <c r="BC261">
        <v>24.440032687918698</v>
      </c>
    </row>
    <row r="262" spans="1:55" x14ac:dyDescent="0.2">
      <c r="A262" t="s">
        <v>569</v>
      </c>
      <c r="B262" t="s">
        <v>570</v>
      </c>
      <c r="C262">
        <v>0</v>
      </c>
      <c r="D262">
        <v>80</v>
      </c>
      <c r="E262">
        <v>150</v>
      </c>
      <c r="F262">
        <v>0</v>
      </c>
      <c r="G262">
        <v>30</v>
      </c>
      <c r="H262">
        <v>90</v>
      </c>
      <c r="I262">
        <v>350</v>
      </c>
      <c r="J262">
        <v>3211.03</v>
      </c>
      <c r="K262">
        <v>35062.800000000003</v>
      </c>
      <c r="L262">
        <v>24543.96</v>
      </c>
      <c r="M262">
        <v>4782.8900000000003</v>
      </c>
      <c r="N262">
        <v>1</v>
      </c>
      <c r="O262">
        <v>18446.400000000001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24543.96</v>
      </c>
      <c r="AQ262">
        <v>4782.8900000000003</v>
      </c>
      <c r="AR262">
        <v>1</v>
      </c>
      <c r="AS262">
        <v>18446.400000000001</v>
      </c>
      <c r="AT262">
        <v>0.453592</v>
      </c>
      <c r="AU262">
        <v>0.44043783199999997</v>
      </c>
      <c r="AV262">
        <v>12860.784694399899</v>
      </c>
      <c r="AW262">
        <v>0</v>
      </c>
      <c r="AY262">
        <v>41486.507599999997</v>
      </c>
      <c r="AZ262">
        <v>1.1832057793444899</v>
      </c>
      <c r="BA262">
        <v>54571.951219512099</v>
      </c>
      <c r="BB262">
        <v>1.5564059692754699</v>
      </c>
      <c r="BC262">
        <v>17.960740791268702</v>
      </c>
    </row>
    <row r="263" spans="1:55" x14ac:dyDescent="0.2">
      <c r="A263" t="s">
        <v>571</v>
      </c>
      <c r="B263" t="s">
        <v>572</v>
      </c>
      <c r="C263">
        <v>0</v>
      </c>
      <c r="D263">
        <v>0</v>
      </c>
      <c r="E263">
        <v>100</v>
      </c>
      <c r="F263">
        <v>100</v>
      </c>
      <c r="G263">
        <v>0</v>
      </c>
      <c r="H263">
        <v>0</v>
      </c>
      <c r="I263">
        <v>200</v>
      </c>
      <c r="J263">
        <v>1865.86</v>
      </c>
      <c r="K263">
        <v>19032</v>
      </c>
      <c r="L263">
        <v>13322.4</v>
      </c>
      <c r="M263">
        <v>3220.8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9901.7099999999991</v>
      </c>
      <c r="W263">
        <v>3659.53</v>
      </c>
      <c r="X263">
        <v>5384.34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0.38</v>
      </c>
      <c r="AF263">
        <v>0.1</v>
      </c>
      <c r="AG263">
        <v>0.5</v>
      </c>
      <c r="AH263">
        <v>0</v>
      </c>
      <c r="AI263">
        <v>0</v>
      </c>
      <c r="AJ263">
        <v>0</v>
      </c>
      <c r="AK263">
        <v>0</v>
      </c>
      <c r="AL263">
        <v>9901.7099999999991</v>
      </c>
      <c r="AM263">
        <v>3659.53</v>
      </c>
      <c r="AN263">
        <v>5384.34</v>
      </c>
      <c r="AO263">
        <v>0</v>
      </c>
      <c r="AP263">
        <v>3420.69</v>
      </c>
      <c r="AQ263">
        <v>-438.73</v>
      </c>
      <c r="AR263">
        <v>-5383.34</v>
      </c>
      <c r="AS263">
        <v>0</v>
      </c>
      <c r="AT263">
        <v>0.453592</v>
      </c>
      <c r="AU263">
        <v>0.44043783199999997</v>
      </c>
      <c r="AV263">
        <v>0</v>
      </c>
      <c r="AW263">
        <v>0</v>
      </c>
      <c r="AY263">
        <v>24106.911199999999</v>
      </c>
      <c r="AZ263">
        <v>1.2666514922236201</v>
      </c>
      <c r="BA263">
        <v>26707.3170731707</v>
      </c>
      <c r="BB263">
        <v>1.40328483991019</v>
      </c>
      <c r="BC263">
        <v>25.500086666666601</v>
      </c>
    </row>
    <row r="264" spans="1:55" x14ac:dyDescent="0.2">
      <c r="A264" t="s">
        <v>573</v>
      </c>
      <c r="B264" t="s">
        <v>574</v>
      </c>
      <c r="C264">
        <v>400</v>
      </c>
      <c r="D264">
        <v>200</v>
      </c>
      <c r="E264">
        <v>0</v>
      </c>
      <c r="F264">
        <v>0</v>
      </c>
      <c r="G264">
        <v>0</v>
      </c>
      <c r="H264">
        <v>0</v>
      </c>
      <c r="I264">
        <v>600</v>
      </c>
      <c r="J264">
        <v>12382.88</v>
      </c>
      <c r="K264">
        <v>164964.92000000001</v>
      </c>
      <c r="L264">
        <v>115475.44</v>
      </c>
      <c r="M264">
        <v>26472.880000000001</v>
      </c>
      <c r="N264">
        <v>74178.36</v>
      </c>
      <c r="O264">
        <v>234972</v>
      </c>
      <c r="P264">
        <v>27180000</v>
      </c>
      <c r="Q264">
        <v>60902.64</v>
      </c>
      <c r="R264">
        <v>16552.36</v>
      </c>
      <c r="S264">
        <v>89741.46</v>
      </c>
      <c r="T264">
        <v>517906.05</v>
      </c>
      <c r="U264">
        <v>60</v>
      </c>
      <c r="V264">
        <v>0</v>
      </c>
      <c r="W264">
        <v>0</v>
      </c>
      <c r="X264">
        <v>0</v>
      </c>
      <c r="Y264">
        <v>0</v>
      </c>
      <c r="Z264">
        <v>60902.64</v>
      </c>
      <c r="AA264">
        <v>16552.36</v>
      </c>
      <c r="AB264">
        <v>89741.46</v>
      </c>
      <c r="AC264">
        <v>517906.05</v>
      </c>
      <c r="AD264">
        <v>1.28</v>
      </c>
      <c r="AE264">
        <v>1.24</v>
      </c>
      <c r="AF264">
        <v>0.99</v>
      </c>
      <c r="AG264">
        <v>3.82</v>
      </c>
      <c r="AH264">
        <v>0</v>
      </c>
      <c r="AI264">
        <v>0</v>
      </c>
      <c r="AJ264">
        <v>0</v>
      </c>
      <c r="AK264">
        <v>0</v>
      </c>
      <c r="AL264">
        <v>60902.64</v>
      </c>
      <c r="AM264">
        <v>16552.36</v>
      </c>
      <c r="AN264">
        <v>89741.46</v>
      </c>
      <c r="AO264">
        <v>517906.05</v>
      </c>
      <c r="AP264">
        <v>115475.44</v>
      </c>
      <c r="AQ264">
        <v>26472.880000000001</v>
      </c>
      <c r="AR264">
        <v>74178.36</v>
      </c>
      <c r="AS264">
        <v>234972</v>
      </c>
      <c r="AT264">
        <v>27.215519999999898</v>
      </c>
      <c r="AU264">
        <v>26.4262699199999</v>
      </c>
      <c r="AV264">
        <v>5787353.1124799903</v>
      </c>
      <c r="AW264">
        <v>102887443.8</v>
      </c>
      <c r="AX264">
        <v>17.7779792938728</v>
      </c>
      <c r="AY264">
        <v>159986.80959999899</v>
      </c>
      <c r="AZ264">
        <v>0.96982321817268702</v>
      </c>
      <c r="BA264">
        <v>219000</v>
      </c>
      <c r="BB264">
        <v>1.32755497350588</v>
      </c>
      <c r="BC264">
        <v>20.6381333333333</v>
      </c>
    </row>
    <row r="265" spans="1:55" x14ac:dyDescent="0.2">
      <c r="A265" t="s">
        <v>575</v>
      </c>
      <c r="B265" t="s">
        <v>576</v>
      </c>
      <c r="C265">
        <v>1295</v>
      </c>
      <c r="D265">
        <v>165</v>
      </c>
      <c r="E265">
        <v>70</v>
      </c>
      <c r="F265">
        <v>430</v>
      </c>
      <c r="G265">
        <v>100</v>
      </c>
      <c r="H265">
        <v>230</v>
      </c>
      <c r="I265">
        <v>2290</v>
      </c>
      <c r="J265">
        <v>41158.6</v>
      </c>
      <c r="K265">
        <v>528198.77</v>
      </c>
      <c r="L265">
        <v>369739.14</v>
      </c>
      <c r="M265">
        <v>86595.82</v>
      </c>
      <c r="N265">
        <v>247830.77</v>
      </c>
      <c r="O265">
        <v>649467</v>
      </c>
      <c r="P265">
        <v>19813500</v>
      </c>
      <c r="Q265">
        <v>73521.850000000006</v>
      </c>
      <c r="R265">
        <v>6021.77</v>
      </c>
      <c r="S265">
        <v>137347.74</v>
      </c>
      <c r="T265">
        <v>693381.38</v>
      </c>
      <c r="U265">
        <v>69</v>
      </c>
      <c r="V265">
        <v>52482.73</v>
      </c>
      <c r="W265">
        <v>11731.14</v>
      </c>
      <c r="X265">
        <v>13212.36</v>
      </c>
      <c r="Y265">
        <v>1471407.5</v>
      </c>
      <c r="Z265">
        <v>55948.28</v>
      </c>
      <c r="AA265">
        <v>4043.95</v>
      </c>
      <c r="AB265">
        <v>104096.76</v>
      </c>
      <c r="AC265">
        <v>525987.35</v>
      </c>
      <c r="AD265">
        <v>1.19</v>
      </c>
      <c r="AE265">
        <v>0.86</v>
      </c>
      <c r="AF265">
        <v>1</v>
      </c>
      <c r="AG265">
        <v>6.29</v>
      </c>
      <c r="AH265">
        <v>98857.06</v>
      </c>
      <c r="AI265">
        <v>16872.7</v>
      </c>
      <c r="AJ265">
        <v>67296.429999999993</v>
      </c>
      <c r="AK265">
        <v>167394.01999999999</v>
      </c>
      <c r="AL265">
        <v>108431.01</v>
      </c>
      <c r="AM265">
        <v>15775.09</v>
      </c>
      <c r="AN265">
        <v>117309.12</v>
      </c>
      <c r="AO265">
        <v>1997394.85</v>
      </c>
      <c r="AP265">
        <v>235972.91999999899</v>
      </c>
      <c r="AQ265">
        <v>59969.8</v>
      </c>
      <c r="AR265">
        <v>200572.96</v>
      </c>
      <c r="AS265">
        <v>-821940.49</v>
      </c>
      <c r="AT265">
        <v>31.297847999999998</v>
      </c>
      <c r="AU265">
        <v>30.390210407999898</v>
      </c>
      <c r="AV265">
        <v>16194943.126423201</v>
      </c>
      <c r="AW265">
        <v>75002221.034999996</v>
      </c>
      <c r="AX265">
        <v>4.63121237595632</v>
      </c>
      <c r="AY265">
        <v>531769.11199999996</v>
      </c>
      <c r="AZ265">
        <v>1.00675946670606</v>
      </c>
      <c r="BA265">
        <v>614357.31707316998</v>
      </c>
      <c r="BB265">
        <v>1.16311765942425</v>
      </c>
      <c r="BC265">
        <v>23.337057115198402</v>
      </c>
    </row>
    <row r="266" spans="1:55" x14ac:dyDescent="0.2">
      <c r="A266" t="s">
        <v>577</v>
      </c>
      <c r="B266" t="s">
        <v>578</v>
      </c>
      <c r="C266">
        <v>400</v>
      </c>
      <c r="D266">
        <v>50</v>
      </c>
      <c r="E266">
        <v>0</v>
      </c>
      <c r="F266">
        <v>0</v>
      </c>
      <c r="G266">
        <v>0</v>
      </c>
      <c r="H266">
        <v>0</v>
      </c>
      <c r="I266">
        <v>450</v>
      </c>
      <c r="J266">
        <v>10457.049999999999</v>
      </c>
      <c r="K266">
        <v>137514.92000000001</v>
      </c>
      <c r="L266">
        <v>96260.44</v>
      </c>
      <c r="M266">
        <v>22849.48</v>
      </c>
      <c r="N266">
        <v>74178.36</v>
      </c>
      <c r="O266">
        <v>200385</v>
      </c>
      <c r="P266">
        <v>8196815</v>
      </c>
      <c r="Q266">
        <v>51146.5</v>
      </c>
      <c r="R266">
        <v>3503.07</v>
      </c>
      <c r="S266">
        <v>51704.35</v>
      </c>
      <c r="T266">
        <v>441598.76</v>
      </c>
      <c r="U266">
        <v>60</v>
      </c>
      <c r="V266">
        <v>0</v>
      </c>
      <c r="W266">
        <v>0</v>
      </c>
      <c r="X266">
        <v>0</v>
      </c>
      <c r="Y266">
        <v>0</v>
      </c>
      <c r="Z266">
        <v>15508.34</v>
      </c>
      <c r="AA266">
        <v>1153.8699999999999</v>
      </c>
      <c r="AB266">
        <v>20736.39</v>
      </c>
      <c r="AC266">
        <v>155642.31</v>
      </c>
      <c r="AD266">
        <v>0.93</v>
      </c>
      <c r="AE266">
        <v>0.33</v>
      </c>
      <c r="AF266">
        <v>1.02</v>
      </c>
      <c r="AG266">
        <v>4.57</v>
      </c>
      <c r="AH266">
        <v>73087.31</v>
      </c>
      <c r="AI266">
        <v>8584.34</v>
      </c>
      <c r="AJ266">
        <v>39784.74</v>
      </c>
      <c r="AK266">
        <v>578411.56999999995</v>
      </c>
      <c r="AL266">
        <v>15508.34</v>
      </c>
      <c r="AM266">
        <v>1153.8699999999999</v>
      </c>
      <c r="AN266">
        <v>20736.39</v>
      </c>
      <c r="AO266">
        <v>155642.31</v>
      </c>
      <c r="AP266">
        <v>58811.29</v>
      </c>
      <c r="AQ266">
        <v>16614.34</v>
      </c>
      <c r="AR266">
        <v>65361.5799999999</v>
      </c>
      <c r="AS266">
        <v>-92070.119999999893</v>
      </c>
      <c r="AT266">
        <v>27.215519999999898</v>
      </c>
      <c r="AU266">
        <v>26.4262699199999</v>
      </c>
      <c r="AV266">
        <v>4340514.8343599997</v>
      </c>
      <c r="AW266">
        <v>31028305.469149999</v>
      </c>
      <c r="AX266">
        <v>7.1485311427866698</v>
      </c>
      <c r="AY266">
        <v>135105.08599999899</v>
      </c>
      <c r="AZ266">
        <v>0.98247583607654998</v>
      </c>
      <c r="BA266">
        <v>164250</v>
      </c>
      <c r="BB266">
        <v>1.1944158495674499</v>
      </c>
      <c r="BC266">
        <v>23.237888888888801</v>
      </c>
    </row>
    <row r="267" spans="1:55" x14ac:dyDescent="0.2">
      <c r="A267" t="s">
        <v>579</v>
      </c>
      <c r="B267" t="s">
        <v>580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0.7</v>
      </c>
      <c r="M267">
        <v>1</v>
      </c>
      <c r="N267">
        <v>1</v>
      </c>
      <c r="O267">
        <v>0</v>
      </c>
      <c r="P267">
        <v>0</v>
      </c>
      <c r="Q267">
        <v>-1755.2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44800.76</v>
      </c>
      <c r="AA267">
        <v>4331.17</v>
      </c>
      <c r="AB267">
        <v>59943.8</v>
      </c>
      <c r="AC267">
        <v>527136.96</v>
      </c>
      <c r="AD267">
        <v>1.21</v>
      </c>
      <c r="AE267">
        <v>0.49</v>
      </c>
      <c r="AF267">
        <v>0.7</v>
      </c>
      <c r="AG267">
        <v>2.81</v>
      </c>
      <c r="AH267">
        <v>0</v>
      </c>
      <c r="AI267">
        <v>0</v>
      </c>
      <c r="AJ267">
        <v>0</v>
      </c>
      <c r="AK267">
        <v>0</v>
      </c>
      <c r="AL267">
        <v>44800.76</v>
      </c>
      <c r="AM267">
        <v>4331.17</v>
      </c>
      <c r="AN267">
        <v>59943.8</v>
      </c>
      <c r="AO267">
        <v>527136.96</v>
      </c>
      <c r="AP267">
        <v>-46555.26</v>
      </c>
      <c r="AQ267">
        <v>-4330.17</v>
      </c>
      <c r="AR267">
        <v>-59942.8</v>
      </c>
      <c r="AS267">
        <v>-527136.96</v>
      </c>
      <c r="AT267">
        <v>0.453592</v>
      </c>
      <c r="AU267">
        <v>0.44043783199999997</v>
      </c>
      <c r="AV267">
        <v>0</v>
      </c>
      <c r="AW267">
        <v>0</v>
      </c>
    </row>
    <row r="268" spans="1:55" x14ac:dyDescent="0.2">
      <c r="A268" t="s">
        <v>581</v>
      </c>
      <c r="B268" t="s">
        <v>582</v>
      </c>
      <c r="C268">
        <v>1025</v>
      </c>
      <c r="D268">
        <v>250</v>
      </c>
      <c r="E268">
        <v>250</v>
      </c>
      <c r="F268">
        <v>0</v>
      </c>
      <c r="G268">
        <v>250</v>
      </c>
      <c r="H268">
        <v>0</v>
      </c>
      <c r="I268">
        <v>1775</v>
      </c>
      <c r="J268">
        <v>31603.68</v>
      </c>
      <c r="K268">
        <v>411285.12</v>
      </c>
      <c r="L268">
        <v>287899.58</v>
      </c>
      <c r="M268">
        <v>66427.67</v>
      </c>
      <c r="N268">
        <v>190082.06</v>
      </c>
      <c r="O268">
        <v>541588.5</v>
      </c>
      <c r="P268">
        <v>43439850</v>
      </c>
      <c r="Q268">
        <v>160776.12</v>
      </c>
      <c r="R268">
        <v>15661.08</v>
      </c>
      <c r="S268">
        <v>215344.75</v>
      </c>
      <c r="T268">
        <v>2104142.48</v>
      </c>
      <c r="U268">
        <v>60</v>
      </c>
      <c r="V268">
        <v>22134.93</v>
      </c>
      <c r="W268">
        <v>6710.64</v>
      </c>
      <c r="X268">
        <v>10004.51</v>
      </c>
      <c r="Y268">
        <v>728191.5</v>
      </c>
      <c r="Z268">
        <v>122820.43</v>
      </c>
      <c r="AA268">
        <v>11859.85</v>
      </c>
      <c r="AB268">
        <v>163145.01999999999</v>
      </c>
      <c r="AC268">
        <v>1642617.25</v>
      </c>
      <c r="AD268">
        <v>0.89</v>
      </c>
      <c r="AE268">
        <v>0.51</v>
      </c>
      <c r="AF268">
        <v>0.57999999999999996</v>
      </c>
      <c r="AG268">
        <v>4.33</v>
      </c>
      <c r="AH268">
        <v>37955.69</v>
      </c>
      <c r="AI268">
        <v>3801.23</v>
      </c>
      <c r="AJ268">
        <v>52199.73</v>
      </c>
      <c r="AK268">
        <v>461525.23</v>
      </c>
      <c r="AL268">
        <v>144955.35999999999</v>
      </c>
      <c r="AM268">
        <v>18570.490000000002</v>
      </c>
      <c r="AN268">
        <v>173149.53</v>
      </c>
      <c r="AO268">
        <v>2370808.75</v>
      </c>
      <c r="AP268">
        <v>265764.65000000002</v>
      </c>
      <c r="AQ268">
        <v>59717.029999999897</v>
      </c>
      <c r="AR268">
        <v>180077.55</v>
      </c>
      <c r="AS268">
        <v>-186603</v>
      </c>
      <c r="AT268">
        <v>27.215519999999898</v>
      </c>
      <c r="AU268">
        <v>26.4262699199999</v>
      </c>
      <c r="AV268">
        <v>12298125.364019999</v>
      </c>
      <c r="AW268">
        <v>164437642.58849999</v>
      </c>
      <c r="AX268">
        <v>13.370951890731799</v>
      </c>
      <c r="AY268">
        <v>408319.54560000001</v>
      </c>
      <c r="AZ268">
        <v>0.99278949260308702</v>
      </c>
      <c r="BA268">
        <v>509887.19512195099</v>
      </c>
      <c r="BB268">
        <v>1.2397414113157099</v>
      </c>
      <c r="BC268">
        <v>21.677137264742701</v>
      </c>
    </row>
    <row r="269" spans="1:55" x14ac:dyDescent="0.2">
      <c r="A269" t="s">
        <v>583</v>
      </c>
      <c r="B269" t="s">
        <v>584</v>
      </c>
      <c r="C269">
        <v>1100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1100</v>
      </c>
      <c r="J269">
        <v>28814.92</v>
      </c>
      <c r="K269">
        <v>376698.97</v>
      </c>
      <c r="L269">
        <v>263689.28000000003</v>
      </c>
      <c r="M269">
        <v>63871.57</v>
      </c>
      <c r="N269">
        <v>214136.02</v>
      </c>
      <c r="O269">
        <v>519354</v>
      </c>
      <c r="P269">
        <v>16384500</v>
      </c>
      <c r="Q269">
        <v>72939.850000000006</v>
      </c>
      <c r="R269">
        <v>11817.64</v>
      </c>
      <c r="S269">
        <v>99415.78</v>
      </c>
      <c r="T269">
        <v>657605.61</v>
      </c>
      <c r="U269">
        <v>74</v>
      </c>
      <c r="V269">
        <v>36794.74</v>
      </c>
      <c r="W269">
        <v>15169.62</v>
      </c>
      <c r="X269">
        <v>37100.71</v>
      </c>
      <c r="Y269">
        <v>639906.88</v>
      </c>
      <c r="Z269">
        <v>72939.850000000006</v>
      </c>
      <c r="AA269">
        <v>11817.64</v>
      </c>
      <c r="AB269">
        <v>99415.78</v>
      </c>
      <c r="AC269">
        <v>657605.61</v>
      </c>
      <c r="AD269">
        <v>1.35</v>
      </c>
      <c r="AE269">
        <v>1.79</v>
      </c>
      <c r="AF269">
        <v>1.26</v>
      </c>
      <c r="AG269">
        <v>3.26</v>
      </c>
      <c r="AH269">
        <v>34276.129999999997</v>
      </c>
      <c r="AI269">
        <v>11456.68</v>
      </c>
      <c r="AJ269">
        <v>20307.43</v>
      </c>
      <c r="AK269">
        <v>705477.84</v>
      </c>
      <c r="AL269">
        <v>109734.59</v>
      </c>
      <c r="AM269">
        <v>26987.26</v>
      </c>
      <c r="AN269">
        <v>136516.49</v>
      </c>
      <c r="AO269">
        <v>1297512.49</v>
      </c>
      <c r="AP269">
        <v>192618.41</v>
      </c>
      <c r="AQ269">
        <v>37245.269999999902</v>
      </c>
      <c r="AR269">
        <v>156727.88</v>
      </c>
      <c r="AS269">
        <v>-826030.72</v>
      </c>
      <c r="AT269">
        <v>33.565807999999997</v>
      </c>
      <c r="AU269">
        <v>32.592399567999998</v>
      </c>
      <c r="AV269">
        <v>13085848.426552</v>
      </c>
      <c r="AW269">
        <v>62022050.145000003</v>
      </c>
      <c r="AX269">
        <v>4.7396277354973302</v>
      </c>
      <c r="AY269">
        <v>372288.76639999897</v>
      </c>
      <c r="AZ269">
        <v>0.98829249891498205</v>
      </c>
      <c r="BA269">
        <v>401500</v>
      </c>
      <c r="BB269">
        <v>1.0658377961585599</v>
      </c>
      <c r="BC269">
        <v>26.195381818181801</v>
      </c>
    </row>
    <row r="270" spans="1:55" x14ac:dyDescent="0.2">
      <c r="A270" t="s">
        <v>585</v>
      </c>
      <c r="B270" t="s">
        <v>586</v>
      </c>
      <c r="C270">
        <v>0</v>
      </c>
      <c r="D270">
        <v>0</v>
      </c>
      <c r="E270">
        <v>0</v>
      </c>
      <c r="F270">
        <v>287</v>
      </c>
      <c r="G270">
        <v>0</v>
      </c>
      <c r="H270">
        <v>0</v>
      </c>
      <c r="I270">
        <v>287</v>
      </c>
      <c r="J270">
        <v>2630.24</v>
      </c>
      <c r="K270">
        <v>27310.92</v>
      </c>
      <c r="L270">
        <v>19117.64</v>
      </c>
      <c r="M270">
        <v>4621.8500000000004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55453.46</v>
      </c>
      <c r="W270">
        <v>10014.84</v>
      </c>
      <c r="X270">
        <v>41563.370000000003</v>
      </c>
      <c r="Y270">
        <v>1103818.32</v>
      </c>
      <c r="Z270">
        <v>0</v>
      </c>
      <c r="AA270">
        <v>0</v>
      </c>
      <c r="AB270">
        <v>0</v>
      </c>
      <c r="AC270">
        <v>0</v>
      </c>
      <c r="AD270">
        <v>0.88</v>
      </c>
      <c r="AE270">
        <v>0.83</v>
      </c>
      <c r="AF270">
        <v>0.55000000000000004</v>
      </c>
      <c r="AG270">
        <v>5.16</v>
      </c>
      <c r="AH270">
        <v>0</v>
      </c>
      <c r="AI270">
        <v>0</v>
      </c>
      <c r="AJ270">
        <v>0</v>
      </c>
      <c r="AK270">
        <v>0</v>
      </c>
      <c r="AL270">
        <v>55453.46</v>
      </c>
      <c r="AM270">
        <v>10014.84</v>
      </c>
      <c r="AN270">
        <v>41563.370000000003</v>
      </c>
      <c r="AO270">
        <v>1103818.32</v>
      </c>
      <c r="AP270">
        <v>-36335.82</v>
      </c>
      <c r="AQ270">
        <v>-5392.99</v>
      </c>
      <c r="AR270">
        <v>-41562.370000000003</v>
      </c>
      <c r="AS270">
        <v>-1103818.32</v>
      </c>
      <c r="AT270">
        <v>0.453592</v>
      </c>
      <c r="AU270">
        <v>0.44043783199999997</v>
      </c>
      <c r="AV270">
        <v>0</v>
      </c>
      <c r="AW270">
        <v>0</v>
      </c>
      <c r="AY270">
        <v>33982.700799999999</v>
      </c>
      <c r="AZ270">
        <v>1.2442898591479099</v>
      </c>
      <c r="BA270">
        <v>38325</v>
      </c>
      <c r="BB270">
        <v>1.40328483991019</v>
      </c>
      <c r="BC270">
        <v>25.049904761904699</v>
      </c>
    </row>
    <row r="271" spans="1:55" x14ac:dyDescent="0.2">
      <c r="A271" t="s">
        <v>587</v>
      </c>
      <c r="B271" t="s">
        <v>588</v>
      </c>
      <c r="C271">
        <v>170</v>
      </c>
      <c r="D271">
        <v>0</v>
      </c>
      <c r="E271">
        <v>160</v>
      </c>
      <c r="F271">
        <v>0</v>
      </c>
      <c r="G271">
        <v>0</v>
      </c>
      <c r="H271">
        <v>0</v>
      </c>
      <c r="I271">
        <v>330</v>
      </c>
      <c r="J271">
        <v>5949.21</v>
      </c>
      <c r="K271">
        <v>71088.56</v>
      </c>
      <c r="L271">
        <v>49761.99</v>
      </c>
      <c r="M271">
        <v>12014.84</v>
      </c>
      <c r="N271">
        <v>32085.78</v>
      </c>
      <c r="O271">
        <v>80263.8</v>
      </c>
      <c r="P271">
        <v>2370000</v>
      </c>
      <c r="Q271">
        <v>4085.71</v>
      </c>
      <c r="R271">
        <v>1631.58</v>
      </c>
      <c r="S271">
        <v>8672.6200000000008</v>
      </c>
      <c r="T271">
        <v>37091.86</v>
      </c>
      <c r="U271">
        <v>65</v>
      </c>
      <c r="V271">
        <v>3166.56</v>
      </c>
      <c r="W271">
        <v>2133.0300000000002</v>
      </c>
      <c r="X271">
        <v>3067.61</v>
      </c>
      <c r="Y271">
        <v>0</v>
      </c>
      <c r="Z271">
        <v>4085.71</v>
      </c>
      <c r="AA271">
        <v>1631.58</v>
      </c>
      <c r="AB271">
        <v>8672.6200000000008</v>
      </c>
      <c r="AC271">
        <v>37091.86</v>
      </c>
      <c r="AD271">
        <v>1.03</v>
      </c>
      <c r="AE271">
        <v>2.21</v>
      </c>
      <c r="AF271">
        <v>1.72</v>
      </c>
      <c r="AG271">
        <v>0.57999999999999996</v>
      </c>
      <c r="AH271">
        <v>0</v>
      </c>
      <c r="AI271">
        <v>0</v>
      </c>
      <c r="AJ271">
        <v>0</v>
      </c>
      <c r="AK271">
        <v>0</v>
      </c>
      <c r="AL271">
        <v>7252.27</v>
      </c>
      <c r="AM271">
        <v>3764.61</v>
      </c>
      <c r="AN271">
        <v>11740.23</v>
      </c>
      <c r="AO271">
        <v>37091.86</v>
      </c>
      <c r="AP271">
        <v>46595.429999999898</v>
      </c>
      <c r="AQ271">
        <v>9881.81</v>
      </c>
      <c r="AR271">
        <v>29018.17</v>
      </c>
      <c r="AS271">
        <v>80263.8</v>
      </c>
      <c r="AT271">
        <v>29.48348</v>
      </c>
      <c r="AU271">
        <v>28.628459079999999</v>
      </c>
      <c r="AV271">
        <v>1776395.885914</v>
      </c>
      <c r="AW271">
        <v>8971421.6999999993</v>
      </c>
      <c r="AX271">
        <v>5.0503504152082499</v>
      </c>
      <c r="AY271">
        <v>76863.7932</v>
      </c>
      <c r="AZ271">
        <v>1.08123998010369</v>
      </c>
      <c r="BA271">
        <v>83415.853658536595</v>
      </c>
      <c r="BB271">
        <v>1.1734075589452999</v>
      </c>
      <c r="BC271">
        <v>26.031762006403401</v>
      </c>
    </row>
    <row r="272" spans="1:55" x14ac:dyDescent="0.2">
      <c r="A272" t="s">
        <v>589</v>
      </c>
      <c r="B272" t="s">
        <v>590</v>
      </c>
      <c r="C272">
        <v>0</v>
      </c>
      <c r="D272">
        <v>0</v>
      </c>
      <c r="E272">
        <v>300</v>
      </c>
      <c r="F272">
        <v>208</v>
      </c>
      <c r="G272">
        <v>0</v>
      </c>
      <c r="H272">
        <v>0</v>
      </c>
      <c r="I272">
        <v>508</v>
      </c>
      <c r="J272">
        <v>5621.42</v>
      </c>
      <c r="K272">
        <v>48341.279999999999</v>
      </c>
      <c r="L272">
        <v>33838.9</v>
      </c>
      <c r="M272">
        <v>8180.83</v>
      </c>
      <c r="N272">
        <v>1</v>
      </c>
      <c r="O272">
        <v>0</v>
      </c>
      <c r="P272">
        <v>14267000</v>
      </c>
      <c r="Q272">
        <v>29729.77</v>
      </c>
      <c r="R272">
        <v>3983.51</v>
      </c>
      <c r="S272">
        <v>44248.37</v>
      </c>
      <c r="T272">
        <v>349589.24</v>
      </c>
      <c r="U272">
        <v>1</v>
      </c>
      <c r="V272">
        <v>10918.02</v>
      </c>
      <c r="W272">
        <v>2367.7600000000002</v>
      </c>
      <c r="X272">
        <v>5656.32</v>
      </c>
      <c r="Y272">
        <v>935266.46</v>
      </c>
      <c r="Z272">
        <v>44887.46</v>
      </c>
      <c r="AA272">
        <v>4958.68</v>
      </c>
      <c r="AB272">
        <v>52089.33</v>
      </c>
      <c r="AC272">
        <v>462269.27</v>
      </c>
      <c r="AD272">
        <v>1.1499999999999999</v>
      </c>
      <c r="AE272">
        <v>0.76</v>
      </c>
      <c r="AF272">
        <v>0.92</v>
      </c>
      <c r="AG272">
        <v>6.42</v>
      </c>
      <c r="AH272">
        <v>0</v>
      </c>
      <c r="AI272">
        <v>0</v>
      </c>
      <c r="AJ272">
        <v>0</v>
      </c>
      <c r="AK272">
        <v>0</v>
      </c>
      <c r="AL272">
        <v>55805.479999999901</v>
      </c>
      <c r="AM272">
        <v>7326.44</v>
      </c>
      <c r="AN272">
        <v>57745.65</v>
      </c>
      <c r="AO272">
        <v>1397535.73</v>
      </c>
      <c r="AP272">
        <v>7763.19</v>
      </c>
      <c r="AQ272">
        <v>4837.8999999999996</v>
      </c>
      <c r="AR272">
        <v>-13496.279999999901</v>
      </c>
      <c r="AS272">
        <v>-1047946.49</v>
      </c>
      <c r="AT272">
        <v>0.453592</v>
      </c>
      <c r="AU272">
        <v>0.44043783199999997</v>
      </c>
      <c r="AV272">
        <v>0</v>
      </c>
      <c r="AW272">
        <v>54006444.469999999</v>
      </c>
      <c r="AY272">
        <v>72628.746400000004</v>
      </c>
      <c r="AZ272">
        <v>1.5024167005921201</v>
      </c>
      <c r="BA272">
        <v>67836.585365853607</v>
      </c>
      <c r="BB272">
        <v>1.40328483991019</v>
      </c>
      <c r="BC272">
        <v>30.2464855643044</v>
      </c>
    </row>
    <row r="273" spans="1:55" x14ac:dyDescent="0.2">
      <c r="A273" t="s">
        <v>591</v>
      </c>
      <c r="B273" t="s">
        <v>592</v>
      </c>
      <c r="C273">
        <v>2050</v>
      </c>
      <c r="D273">
        <v>300</v>
      </c>
      <c r="E273">
        <v>600</v>
      </c>
      <c r="F273">
        <v>420</v>
      </c>
      <c r="G273">
        <v>180</v>
      </c>
      <c r="H273">
        <v>300</v>
      </c>
      <c r="I273">
        <v>3850</v>
      </c>
      <c r="J273">
        <v>70026.149999999994</v>
      </c>
      <c r="K273">
        <v>881742.55</v>
      </c>
      <c r="L273">
        <v>617219.79</v>
      </c>
      <c r="M273">
        <v>145025.47</v>
      </c>
      <c r="N273">
        <v>400422.21</v>
      </c>
      <c r="O273">
        <v>1037061</v>
      </c>
      <c r="P273">
        <v>20280000</v>
      </c>
      <c r="Q273">
        <v>95301.99</v>
      </c>
      <c r="R273">
        <v>8134.3</v>
      </c>
      <c r="S273">
        <v>162745.78</v>
      </c>
      <c r="T273">
        <v>937425.56</v>
      </c>
      <c r="U273">
        <v>75</v>
      </c>
      <c r="V273">
        <v>67106.009999999995</v>
      </c>
      <c r="W273">
        <v>25020.49</v>
      </c>
      <c r="X273">
        <v>29259.62</v>
      </c>
      <c r="Y273">
        <v>0</v>
      </c>
      <c r="Z273">
        <v>82796.5</v>
      </c>
      <c r="AA273">
        <v>7356.31</v>
      </c>
      <c r="AB273">
        <v>141482.04999999999</v>
      </c>
      <c r="AC273">
        <v>831547.54</v>
      </c>
      <c r="AD273">
        <v>1.06</v>
      </c>
      <c r="AE273">
        <v>1.1200000000000001</v>
      </c>
      <c r="AF273">
        <v>1.03</v>
      </c>
      <c r="AG273">
        <v>2.4300000000000002</v>
      </c>
      <c r="AH273">
        <v>37082.559999999998</v>
      </c>
      <c r="AI273">
        <v>14584.52</v>
      </c>
      <c r="AJ273">
        <v>82706.429999999993</v>
      </c>
      <c r="AK273">
        <v>105878.02</v>
      </c>
      <c r="AL273">
        <v>149902.51</v>
      </c>
      <c r="AM273">
        <v>32376.799999999999</v>
      </c>
      <c r="AN273">
        <v>170741.66999999899</v>
      </c>
      <c r="AO273">
        <v>831547.54</v>
      </c>
      <c r="AP273">
        <v>525536.71</v>
      </c>
      <c r="AQ273">
        <v>106198.44999999899</v>
      </c>
      <c r="AR273">
        <v>309719.89</v>
      </c>
      <c r="AS273">
        <v>1037061</v>
      </c>
      <c r="AT273">
        <v>34.019399999999997</v>
      </c>
      <c r="AU273">
        <v>33.032837399999998</v>
      </c>
      <c r="AV273">
        <v>28333916.279849999</v>
      </c>
      <c r="AW273">
        <v>76768114.799999997</v>
      </c>
      <c r="AX273">
        <v>2.7094071303723899</v>
      </c>
      <c r="AY273">
        <v>904737.85799999896</v>
      </c>
      <c r="AZ273">
        <v>1.0260793901802701</v>
      </c>
      <c r="BA273">
        <v>1015323.1707317</v>
      </c>
      <c r="BB273">
        <v>1.15149617167925</v>
      </c>
      <c r="BC273">
        <v>24.157106857383202</v>
      </c>
    </row>
    <row r="274" spans="1:55" x14ac:dyDescent="0.2">
      <c r="A274" t="s">
        <v>593</v>
      </c>
      <c r="B274" t="s">
        <v>594</v>
      </c>
      <c r="C274">
        <v>600</v>
      </c>
      <c r="D274">
        <v>85</v>
      </c>
      <c r="E274">
        <v>0</v>
      </c>
      <c r="F274">
        <v>350</v>
      </c>
      <c r="G274">
        <v>200</v>
      </c>
      <c r="H274">
        <v>0</v>
      </c>
      <c r="I274">
        <v>1235</v>
      </c>
      <c r="J274">
        <v>20572.04</v>
      </c>
      <c r="K274">
        <v>256272.38</v>
      </c>
      <c r="L274">
        <v>179390.67</v>
      </c>
      <c r="M274">
        <v>41725.620000000003</v>
      </c>
      <c r="N274">
        <v>113243.95</v>
      </c>
      <c r="O274">
        <v>302883.3</v>
      </c>
      <c r="P274">
        <v>3830000</v>
      </c>
      <c r="Q274">
        <v>14020.43</v>
      </c>
      <c r="R274">
        <v>2429.71</v>
      </c>
      <c r="S274">
        <v>46196.25</v>
      </c>
      <c r="T274">
        <v>174318.71</v>
      </c>
      <c r="U274">
        <v>65</v>
      </c>
      <c r="V274">
        <v>22638.560000000001</v>
      </c>
      <c r="W274">
        <v>12857.44</v>
      </c>
      <c r="X274">
        <v>25162.720000000001</v>
      </c>
      <c r="Y274">
        <v>0</v>
      </c>
      <c r="Z274">
        <v>14020.43</v>
      </c>
      <c r="AA274">
        <v>2429.71</v>
      </c>
      <c r="AB274">
        <v>46196.25</v>
      </c>
      <c r="AC274">
        <v>174318.71</v>
      </c>
      <c r="AD274">
        <v>1.22</v>
      </c>
      <c r="AE274">
        <v>1.97</v>
      </c>
      <c r="AF274">
        <v>2.08</v>
      </c>
      <c r="AG274">
        <v>0.5</v>
      </c>
      <c r="AH274">
        <v>7375.46</v>
      </c>
      <c r="AI274">
        <v>4139.58</v>
      </c>
      <c r="AJ274">
        <v>7608.67</v>
      </c>
      <c r="AK274">
        <v>0</v>
      </c>
      <c r="AL274">
        <v>36658.99</v>
      </c>
      <c r="AM274">
        <v>15287.15</v>
      </c>
      <c r="AN274">
        <v>71358.97</v>
      </c>
      <c r="AO274">
        <v>174318.71</v>
      </c>
      <c r="AP274">
        <v>149376.65</v>
      </c>
      <c r="AQ274">
        <v>24728.6</v>
      </c>
      <c r="AR274">
        <v>80472.56</v>
      </c>
      <c r="AS274">
        <v>302883.3</v>
      </c>
      <c r="AT274">
        <v>29.48348</v>
      </c>
      <c r="AU274">
        <v>28.628459079999999</v>
      </c>
      <c r="AV274">
        <v>7157830.4814769998</v>
      </c>
      <c r="AW274">
        <v>14498120.300000001</v>
      </c>
      <c r="AX274">
        <v>2.02549087150333</v>
      </c>
      <c r="AY274">
        <v>265790.75679999997</v>
      </c>
      <c r="AZ274">
        <v>1.03714164124904</v>
      </c>
      <c r="BA274">
        <v>305665.24390243902</v>
      </c>
      <c r="BB274">
        <v>1.1927358067320299</v>
      </c>
      <c r="BC274">
        <v>23.2132555387367</v>
      </c>
    </row>
    <row r="275" spans="1:55" x14ac:dyDescent="0.2">
      <c r="A275" t="s">
        <v>595</v>
      </c>
      <c r="B275" t="s">
        <v>596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0.7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56220.84</v>
      </c>
      <c r="W275">
        <v>23036.83</v>
      </c>
      <c r="X275">
        <v>69933.240000000005</v>
      </c>
      <c r="Y275">
        <v>1557728.64</v>
      </c>
      <c r="Z275">
        <v>0</v>
      </c>
      <c r="AA275">
        <v>0</v>
      </c>
      <c r="AB275">
        <v>0</v>
      </c>
      <c r="AC275">
        <v>0</v>
      </c>
      <c r="AD275">
        <v>0.91</v>
      </c>
      <c r="AE275">
        <v>1.74</v>
      </c>
      <c r="AF275">
        <v>1.22</v>
      </c>
      <c r="AG275">
        <v>5.7</v>
      </c>
      <c r="AH275">
        <v>0</v>
      </c>
      <c r="AI275">
        <v>0</v>
      </c>
      <c r="AJ275">
        <v>0</v>
      </c>
      <c r="AK275">
        <v>0</v>
      </c>
      <c r="AL275">
        <v>56220.84</v>
      </c>
      <c r="AM275">
        <v>23036.83</v>
      </c>
      <c r="AN275">
        <v>69933.240000000005</v>
      </c>
      <c r="AO275">
        <v>1557728.64</v>
      </c>
      <c r="AP275">
        <v>-56220.14</v>
      </c>
      <c r="AQ275">
        <v>-23035.83</v>
      </c>
      <c r="AR275">
        <v>-69932.240000000005</v>
      </c>
      <c r="AS275">
        <v>-1557728.64</v>
      </c>
      <c r="AT275">
        <v>0.453592</v>
      </c>
      <c r="AU275">
        <v>0.44043783199999997</v>
      </c>
      <c r="AV275">
        <v>0</v>
      </c>
      <c r="AW275">
        <v>0</v>
      </c>
    </row>
    <row r="276" spans="1:55" x14ac:dyDescent="0.2">
      <c r="A276" t="s">
        <v>597</v>
      </c>
      <c r="B276" t="s">
        <v>598</v>
      </c>
      <c r="C276">
        <v>0</v>
      </c>
      <c r="D276">
        <v>383</v>
      </c>
      <c r="E276">
        <v>0</v>
      </c>
      <c r="F276">
        <v>0</v>
      </c>
      <c r="G276">
        <v>0</v>
      </c>
      <c r="H276">
        <v>0</v>
      </c>
      <c r="I276">
        <v>383</v>
      </c>
      <c r="J276">
        <v>5071.4799999999996</v>
      </c>
      <c r="K276">
        <v>70089</v>
      </c>
      <c r="L276">
        <v>49062.3</v>
      </c>
      <c r="M276">
        <v>9251.75</v>
      </c>
      <c r="N276">
        <v>1</v>
      </c>
      <c r="O276">
        <v>88312.14</v>
      </c>
      <c r="P276">
        <v>5232000</v>
      </c>
      <c r="Q276">
        <v>13279.16</v>
      </c>
      <c r="R276">
        <v>1090.6099999999999</v>
      </c>
      <c r="S276">
        <v>10401.1</v>
      </c>
      <c r="T276">
        <v>166718.07999999999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13279.16</v>
      </c>
      <c r="AA276">
        <v>1090.6099999999999</v>
      </c>
      <c r="AB276">
        <v>10401.1</v>
      </c>
      <c r="AC276">
        <v>166718.07999999999</v>
      </c>
      <c r="AD276">
        <v>1.31</v>
      </c>
      <c r="AE276">
        <v>0.57999999999999996</v>
      </c>
      <c r="AF276">
        <v>0.68</v>
      </c>
      <c r="AG276">
        <v>3.72</v>
      </c>
      <c r="AH276">
        <v>0</v>
      </c>
      <c r="AI276">
        <v>0</v>
      </c>
      <c r="AJ276">
        <v>0</v>
      </c>
      <c r="AK276">
        <v>0</v>
      </c>
      <c r="AL276">
        <v>13279.16</v>
      </c>
      <c r="AM276">
        <v>1090.6099999999999</v>
      </c>
      <c r="AN276">
        <v>10401.1</v>
      </c>
      <c r="AO276">
        <v>166718.07999999999</v>
      </c>
      <c r="AP276">
        <v>49062.3</v>
      </c>
      <c r="AQ276">
        <v>9251.75</v>
      </c>
      <c r="AR276">
        <v>1</v>
      </c>
      <c r="AS276">
        <v>88312.139999999898</v>
      </c>
      <c r="AT276">
        <v>0.453592</v>
      </c>
      <c r="AU276">
        <v>0.44043783199999997</v>
      </c>
      <c r="AV276">
        <v>61571.006724439998</v>
      </c>
      <c r="AW276">
        <v>19805265.120000001</v>
      </c>
      <c r="AX276">
        <v>321.66544244823098</v>
      </c>
      <c r="AY276">
        <v>65523.521599999898</v>
      </c>
      <c r="AZ276">
        <v>0.93486169869737001</v>
      </c>
      <c r="BA276">
        <v>139795</v>
      </c>
      <c r="BB276">
        <v>1.9945355191256799</v>
      </c>
      <c r="BC276">
        <v>13.2414621409921</v>
      </c>
    </row>
    <row r="277" spans="1:55" x14ac:dyDescent="0.2">
      <c r="A277" t="s">
        <v>599</v>
      </c>
      <c r="B277" t="s">
        <v>600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1</v>
      </c>
      <c r="L277">
        <v>0.7</v>
      </c>
      <c r="M277">
        <v>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39823.17</v>
      </c>
      <c r="AA277">
        <v>2215.7199999999998</v>
      </c>
      <c r="AB277">
        <v>26836.27</v>
      </c>
      <c r="AC277">
        <v>194546.99</v>
      </c>
      <c r="AD277">
        <v>1.32</v>
      </c>
      <c r="AE277">
        <v>0.36</v>
      </c>
      <c r="AF277">
        <v>0.7</v>
      </c>
      <c r="AG277">
        <v>1.54</v>
      </c>
      <c r="AH277">
        <v>0</v>
      </c>
      <c r="AI277">
        <v>0</v>
      </c>
      <c r="AJ277">
        <v>0</v>
      </c>
      <c r="AK277">
        <v>0</v>
      </c>
      <c r="AL277">
        <v>39823.17</v>
      </c>
      <c r="AM277">
        <v>2215.7199999999998</v>
      </c>
      <c r="AN277">
        <v>26836.27</v>
      </c>
      <c r="AO277">
        <v>194546.99</v>
      </c>
      <c r="AP277">
        <v>-39822.47</v>
      </c>
      <c r="AQ277">
        <v>-2214.7199999999998</v>
      </c>
      <c r="AR277">
        <v>-26835.27</v>
      </c>
      <c r="AS277">
        <v>-194546.99</v>
      </c>
      <c r="AT277">
        <v>0.453592</v>
      </c>
      <c r="AU277">
        <v>0.44043783199999997</v>
      </c>
      <c r="AV277">
        <v>0</v>
      </c>
      <c r="AW277">
        <v>0</v>
      </c>
    </row>
    <row r="278" spans="1:55" x14ac:dyDescent="0.2">
      <c r="A278" t="s">
        <v>601</v>
      </c>
      <c r="B278" t="s">
        <v>602</v>
      </c>
      <c r="C278">
        <v>425</v>
      </c>
      <c r="D278">
        <v>50</v>
      </c>
      <c r="E278">
        <v>50</v>
      </c>
      <c r="F278">
        <v>0</v>
      </c>
      <c r="G278">
        <v>0</v>
      </c>
      <c r="H278">
        <v>0</v>
      </c>
      <c r="I278">
        <v>525</v>
      </c>
      <c r="J278">
        <v>11046.11</v>
      </c>
      <c r="K278">
        <v>143756.41</v>
      </c>
      <c r="L278">
        <v>100629.49</v>
      </c>
      <c r="M278">
        <v>23804.89</v>
      </c>
      <c r="N278">
        <v>76014.61</v>
      </c>
      <c r="O278">
        <v>212188.5</v>
      </c>
      <c r="P278">
        <v>9072000</v>
      </c>
      <c r="Q278">
        <v>41429.519999999997</v>
      </c>
      <c r="R278">
        <v>3677.14</v>
      </c>
      <c r="S278">
        <v>52640.99</v>
      </c>
      <c r="T278">
        <v>512852.99</v>
      </c>
      <c r="U278">
        <v>50</v>
      </c>
      <c r="V278">
        <v>0</v>
      </c>
      <c r="W278">
        <v>0</v>
      </c>
      <c r="X278">
        <v>0</v>
      </c>
      <c r="Y278">
        <v>0</v>
      </c>
      <c r="Z278">
        <v>41429.519999999997</v>
      </c>
      <c r="AA278">
        <v>3677.14</v>
      </c>
      <c r="AB278">
        <v>52640.99</v>
      </c>
      <c r="AC278">
        <v>512852.99</v>
      </c>
      <c r="AD278">
        <v>1.26</v>
      </c>
      <c r="AE278">
        <v>0.52</v>
      </c>
      <c r="AF278">
        <v>1.1599999999999999</v>
      </c>
      <c r="AG278">
        <v>3.41</v>
      </c>
      <c r="AH278">
        <v>0</v>
      </c>
      <c r="AI278">
        <v>0</v>
      </c>
      <c r="AJ278">
        <v>0</v>
      </c>
      <c r="AK278">
        <v>0</v>
      </c>
      <c r="AL278">
        <v>41429.519999999997</v>
      </c>
      <c r="AM278">
        <v>3677.14</v>
      </c>
      <c r="AN278">
        <v>52640.99</v>
      </c>
      <c r="AO278">
        <v>512852.99</v>
      </c>
      <c r="AP278">
        <v>100629.49</v>
      </c>
      <c r="AQ278">
        <v>23804.89</v>
      </c>
      <c r="AR278">
        <v>76014.61</v>
      </c>
      <c r="AS278">
        <v>212188.5</v>
      </c>
      <c r="AT278">
        <v>22.679600000000001</v>
      </c>
      <c r="AU278">
        <v>22.0218916</v>
      </c>
      <c r="AV278">
        <v>3818045.45615</v>
      </c>
      <c r="AW278">
        <v>34341239.520000003</v>
      </c>
      <c r="AX278">
        <v>8.9944553867697099</v>
      </c>
      <c r="AY278">
        <v>142715.74119999999</v>
      </c>
      <c r="AZ278">
        <v>0.99276088767102599</v>
      </c>
      <c r="BA278">
        <v>180051.829268292</v>
      </c>
      <c r="BB278">
        <v>1.25247861481997</v>
      </c>
      <c r="BC278">
        <v>22.3926086526576</v>
      </c>
    </row>
    <row r="279" spans="1:55" x14ac:dyDescent="0.2">
      <c r="A279" t="s">
        <v>603</v>
      </c>
      <c r="B279" t="s">
        <v>604</v>
      </c>
      <c r="C279">
        <v>748</v>
      </c>
      <c r="D279">
        <v>172</v>
      </c>
      <c r="E279">
        <v>77</v>
      </c>
      <c r="F279">
        <v>0</v>
      </c>
      <c r="G279">
        <v>0</v>
      </c>
      <c r="H279">
        <v>0</v>
      </c>
      <c r="I279">
        <v>997</v>
      </c>
      <c r="J279">
        <v>22514.15</v>
      </c>
      <c r="K279">
        <v>293807.7</v>
      </c>
      <c r="L279">
        <v>205665.39</v>
      </c>
      <c r="M279">
        <v>48615.88</v>
      </c>
      <c r="N279">
        <v>145119.71</v>
      </c>
      <c r="O279">
        <v>392820.47999999998</v>
      </c>
      <c r="P279">
        <v>29328000</v>
      </c>
      <c r="Q279">
        <v>73460.78</v>
      </c>
      <c r="R279">
        <v>12673.34</v>
      </c>
      <c r="S279">
        <v>100013.85</v>
      </c>
      <c r="T279">
        <v>940591.24</v>
      </c>
      <c r="U279">
        <v>73</v>
      </c>
      <c r="V279">
        <v>0</v>
      </c>
      <c r="W279">
        <v>0</v>
      </c>
      <c r="X279">
        <v>0</v>
      </c>
      <c r="Y279">
        <v>0</v>
      </c>
      <c r="Z279">
        <v>73460.78</v>
      </c>
      <c r="AA279">
        <v>12673.34</v>
      </c>
      <c r="AB279">
        <v>100013.85</v>
      </c>
      <c r="AC279">
        <v>940591.24</v>
      </c>
      <c r="AD279">
        <v>1.1499999999999999</v>
      </c>
      <c r="AE279">
        <v>1.1499999999999999</v>
      </c>
      <c r="AF279">
        <v>1.1499999999999999</v>
      </c>
      <c r="AG279">
        <v>3.42</v>
      </c>
      <c r="AH279">
        <v>0</v>
      </c>
      <c r="AI279">
        <v>0</v>
      </c>
      <c r="AJ279">
        <v>0</v>
      </c>
      <c r="AK279">
        <v>0</v>
      </c>
      <c r="AL279">
        <v>73460.78</v>
      </c>
      <c r="AM279">
        <v>12673.34</v>
      </c>
      <c r="AN279">
        <v>100013.85</v>
      </c>
      <c r="AO279">
        <v>940591.24</v>
      </c>
      <c r="AP279">
        <v>205665.39</v>
      </c>
      <c r="AQ279">
        <v>48615.88</v>
      </c>
      <c r="AR279">
        <v>145119.71</v>
      </c>
      <c r="AS279">
        <v>392820.47999999998</v>
      </c>
      <c r="AT279">
        <v>33.112215999999997</v>
      </c>
      <c r="AU279">
        <v>32.151961735999997</v>
      </c>
      <c r="AV279">
        <v>10796628.750948699</v>
      </c>
      <c r="AW279">
        <v>111018504.48</v>
      </c>
      <c r="AX279">
        <v>10.28270092831</v>
      </c>
      <c r="AY279">
        <v>290882.81800000003</v>
      </c>
      <c r="AZ279">
        <v>0.99004491032740105</v>
      </c>
      <c r="BA279">
        <v>346082.31707316998</v>
      </c>
      <c r="BB279">
        <v>1.17792119496245</v>
      </c>
      <c r="BC279">
        <v>23.744827009646301</v>
      </c>
    </row>
    <row r="280" spans="1:55" x14ac:dyDescent="0.2">
      <c r="A280" t="s">
        <v>605</v>
      </c>
      <c r="B280" t="s">
        <v>606</v>
      </c>
      <c r="C280">
        <v>680</v>
      </c>
      <c r="D280">
        <v>91</v>
      </c>
      <c r="E280">
        <v>20</v>
      </c>
      <c r="F280">
        <v>250</v>
      </c>
      <c r="G280">
        <v>50</v>
      </c>
      <c r="H280">
        <v>0</v>
      </c>
      <c r="I280">
        <v>1091</v>
      </c>
      <c r="J280">
        <v>21983.57</v>
      </c>
      <c r="K280">
        <v>278822.94</v>
      </c>
      <c r="L280">
        <v>195176.06</v>
      </c>
      <c r="M280">
        <v>46404.07</v>
      </c>
      <c r="N280">
        <v>132822.98000000001</v>
      </c>
      <c r="O280">
        <v>342037.98</v>
      </c>
      <c r="P280">
        <v>27426000</v>
      </c>
      <c r="Q280">
        <v>106894.54</v>
      </c>
      <c r="R280">
        <v>6288.13</v>
      </c>
      <c r="S280">
        <v>113120.65</v>
      </c>
      <c r="T280">
        <v>1566732.36</v>
      </c>
      <c r="U280">
        <v>75</v>
      </c>
      <c r="V280">
        <v>14881.2</v>
      </c>
      <c r="W280">
        <v>6903.89</v>
      </c>
      <c r="X280">
        <v>24715.279999999999</v>
      </c>
      <c r="Y280">
        <v>266666.28000000003</v>
      </c>
      <c r="Z280">
        <v>106894.54</v>
      </c>
      <c r="AA280">
        <v>6288.13</v>
      </c>
      <c r="AB280">
        <v>113120.65</v>
      </c>
      <c r="AC280">
        <v>1566732.36</v>
      </c>
      <c r="AD280">
        <v>1.1599999999999999</v>
      </c>
      <c r="AE280">
        <v>0.87</v>
      </c>
      <c r="AF280">
        <v>1.1299999999999999</v>
      </c>
      <c r="AG280">
        <v>5.05</v>
      </c>
      <c r="AH280">
        <v>0</v>
      </c>
      <c r="AI280">
        <v>0</v>
      </c>
      <c r="AJ280">
        <v>0</v>
      </c>
      <c r="AK280">
        <v>0</v>
      </c>
      <c r="AL280">
        <v>121775.739999999</v>
      </c>
      <c r="AM280">
        <v>13192.02</v>
      </c>
      <c r="AN280">
        <v>137835.93</v>
      </c>
      <c r="AO280">
        <v>1833398.64</v>
      </c>
      <c r="AP280">
        <v>180294.86</v>
      </c>
      <c r="AQ280">
        <v>39500.179999999898</v>
      </c>
      <c r="AR280">
        <v>108107.7</v>
      </c>
      <c r="AS280">
        <v>75371.699999999895</v>
      </c>
      <c r="AT280">
        <v>34.019399999999997</v>
      </c>
      <c r="AU280">
        <v>33.032837399999998</v>
      </c>
      <c r="AV280">
        <v>9295935.9369210005</v>
      </c>
      <c r="AW280">
        <v>103818654.66</v>
      </c>
      <c r="AX280">
        <v>11.1681766488578</v>
      </c>
      <c r="AY280">
        <v>284027.72440000001</v>
      </c>
      <c r="AZ280">
        <v>1.01866698773063</v>
      </c>
      <c r="BA280">
        <v>319695.48780487798</v>
      </c>
      <c r="BB280">
        <v>1.1465896163525</v>
      </c>
      <c r="BC280">
        <v>24.7542327867952</v>
      </c>
    </row>
    <row r="281" spans="1:55" x14ac:dyDescent="0.2">
      <c r="A281" t="s">
        <v>607</v>
      </c>
      <c r="B281" t="s">
        <v>608</v>
      </c>
      <c r="C281">
        <v>630</v>
      </c>
      <c r="D281">
        <v>90</v>
      </c>
      <c r="E281">
        <v>0</v>
      </c>
      <c r="F281">
        <v>0</v>
      </c>
      <c r="G281">
        <v>0</v>
      </c>
      <c r="H281">
        <v>0</v>
      </c>
      <c r="I281">
        <v>720</v>
      </c>
      <c r="J281">
        <v>15868.36</v>
      </c>
      <c r="K281">
        <v>208951.17</v>
      </c>
      <c r="L281">
        <v>146265.82</v>
      </c>
      <c r="M281">
        <v>34477.31</v>
      </c>
      <c r="N281">
        <v>112680.48</v>
      </c>
      <c r="O281">
        <v>318200.40000000002</v>
      </c>
      <c r="P281">
        <v>11160000</v>
      </c>
      <c r="Q281">
        <v>31818.48</v>
      </c>
      <c r="R281">
        <v>5274.87</v>
      </c>
      <c r="S281">
        <v>48993.5</v>
      </c>
      <c r="T281">
        <v>454535.46</v>
      </c>
      <c r="U281">
        <v>50</v>
      </c>
      <c r="V281">
        <v>0</v>
      </c>
      <c r="W281">
        <v>0</v>
      </c>
      <c r="X281">
        <v>0</v>
      </c>
      <c r="Y281">
        <v>0</v>
      </c>
      <c r="Z281">
        <v>31818.48</v>
      </c>
      <c r="AA281">
        <v>5274.87</v>
      </c>
      <c r="AB281">
        <v>48993.5</v>
      </c>
      <c r="AC281">
        <v>454535.46</v>
      </c>
      <c r="AD281">
        <v>1.1399999999999999</v>
      </c>
      <c r="AE281">
        <v>0.84</v>
      </c>
      <c r="AF281">
        <v>1.21</v>
      </c>
      <c r="AG281">
        <v>3.5</v>
      </c>
      <c r="AH281">
        <v>0</v>
      </c>
      <c r="AI281">
        <v>0</v>
      </c>
      <c r="AJ281">
        <v>0</v>
      </c>
      <c r="AK281">
        <v>0</v>
      </c>
      <c r="AL281">
        <v>31818.48</v>
      </c>
      <c r="AM281">
        <v>5274.87</v>
      </c>
      <c r="AN281">
        <v>48993.5</v>
      </c>
      <c r="AO281">
        <v>454535.46</v>
      </c>
      <c r="AP281">
        <v>146265.82</v>
      </c>
      <c r="AQ281">
        <v>34477.31</v>
      </c>
      <c r="AR281">
        <v>112680.47999999901</v>
      </c>
      <c r="AS281">
        <v>318200.40000000002</v>
      </c>
      <c r="AT281">
        <v>22.679600000000001</v>
      </c>
      <c r="AU281">
        <v>22.0218916</v>
      </c>
      <c r="AV281">
        <v>5787353.1124799997</v>
      </c>
      <c r="AW281">
        <v>42245175.600000001</v>
      </c>
      <c r="AX281">
        <v>7.2995676570868602</v>
      </c>
      <c r="AY281">
        <v>205019.21119999999</v>
      </c>
      <c r="AZ281">
        <v>0.98118240352518704</v>
      </c>
      <c r="BA281">
        <v>262800</v>
      </c>
      <c r="BB281">
        <v>1.2577101147603</v>
      </c>
      <c r="BC281">
        <v>22.039388888888801</v>
      </c>
    </row>
    <row r="282" spans="1:55" x14ac:dyDescent="0.2">
      <c r="A282" t="s">
        <v>609</v>
      </c>
      <c r="B282" t="s">
        <v>610</v>
      </c>
      <c r="C282">
        <v>830</v>
      </c>
      <c r="D282">
        <v>100</v>
      </c>
      <c r="E282">
        <v>450</v>
      </c>
      <c r="F282">
        <v>200</v>
      </c>
      <c r="G282">
        <v>75</v>
      </c>
      <c r="H282">
        <v>125</v>
      </c>
      <c r="I282">
        <v>1780</v>
      </c>
      <c r="J282">
        <v>30531.95</v>
      </c>
      <c r="K282">
        <v>370807.22</v>
      </c>
      <c r="L282">
        <v>259565.05</v>
      </c>
      <c r="M282">
        <v>61097.42</v>
      </c>
      <c r="N282">
        <v>159934.95000000001</v>
      </c>
      <c r="O282">
        <v>414934.2</v>
      </c>
      <c r="P282">
        <v>21860500</v>
      </c>
      <c r="Q282">
        <v>89109.05</v>
      </c>
      <c r="R282">
        <v>15019.47</v>
      </c>
      <c r="S282">
        <v>128372.25</v>
      </c>
      <c r="T282">
        <v>705999.1</v>
      </c>
      <c r="U282">
        <v>71</v>
      </c>
      <c r="V282">
        <v>108631.19</v>
      </c>
      <c r="W282">
        <v>60806.14</v>
      </c>
      <c r="X282">
        <v>298564.96000000002</v>
      </c>
      <c r="Y282">
        <v>0</v>
      </c>
      <c r="Z282">
        <v>34734.129999999997</v>
      </c>
      <c r="AA282">
        <v>6966.18</v>
      </c>
      <c r="AB282">
        <v>49235.46</v>
      </c>
      <c r="AC282">
        <v>278468.47999999998</v>
      </c>
      <c r="AD282">
        <v>1.1200000000000001</v>
      </c>
      <c r="AE282">
        <v>2.27</v>
      </c>
      <c r="AF282">
        <v>1.95</v>
      </c>
      <c r="AG282">
        <v>0.71</v>
      </c>
      <c r="AH282">
        <v>54374.92</v>
      </c>
      <c r="AI282">
        <v>8053.28</v>
      </c>
      <c r="AJ282">
        <v>79136.789999999994</v>
      </c>
      <c r="AK282">
        <v>427530.62</v>
      </c>
      <c r="AL282">
        <v>143365.32</v>
      </c>
      <c r="AM282">
        <v>67772.320000000007</v>
      </c>
      <c r="AN282">
        <v>347800.42</v>
      </c>
      <c r="AO282">
        <v>278468.47999999998</v>
      </c>
      <c r="AP282">
        <v>150933.85999999999</v>
      </c>
      <c r="AQ282">
        <v>291.28999999999201</v>
      </c>
      <c r="AR282">
        <v>-138630.01</v>
      </c>
      <c r="AS282">
        <v>414934.2</v>
      </c>
      <c r="AT282">
        <v>32.205032000000003</v>
      </c>
      <c r="AU282">
        <v>31.271086071999999</v>
      </c>
      <c r="AV282">
        <v>10614970.1671404</v>
      </c>
      <c r="AW282">
        <v>82750955.305000007</v>
      </c>
      <c r="AX282">
        <v>7.7956842084364002</v>
      </c>
      <c r="AY282">
        <v>394472.79399999999</v>
      </c>
      <c r="AZ282">
        <v>1.06382177240238</v>
      </c>
      <c r="BA282">
        <v>435151.21951219498</v>
      </c>
      <c r="BB282">
        <v>1.1735241280150699</v>
      </c>
      <c r="BC282">
        <v>24.603182979559701</v>
      </c>
    </row>
    <row r="283" spans="1:55" x14ac:dyDescent="0.2">
      <c r="A283" t="s">
        <v>611</v>
      </c>
      <c r="B283" t="s">
        <v>612</v>
      </c>
      <c r="C283">
        <v>0</v>
      </c>
      <c r="D283">
        <v>0</v>
      </c>
      <c r="E283">
        <v>530</v>
      </c>
      <c r="F283">
        <v>445</v>
      </c>
      <c r="G283">
        <v>0</v>
      </c>
      <c r="H283">
        <v>0</v>
      </c>
      <c r="I283">
        <v>975</v>
      </c>
      <c r="J283">
        <v>9532.52</v>
      </c>
      <c r="K283">
        <v>92781</v>
      </c>
      <c r="L283">
        <v>64946.7</v>
      </c>
      <c r="M283">
        <v>15701.4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34040.339999999997</v>
      </c>
      <c r="W283">
        <v>7300.43</v>
      </c>
      <c r="X283">
        <v>47393.32</v>
      </c>
      <c r="Y283">
        <v>237424.77</v>
      </c>
      <c r="Z283">
        <v>0</v>
      </c>
      <c r="AA283">
        <v>0</v>
      </c>
      <c r="AB283">
        <v>0</v>
      </c>
      <c r="AC283">
        <v>0</v>
      </c>
      <c r="AD283">
        <v>0.68</v>
      </c>
      <c r="AE283">
        <v>0.5</v>
      </c>
      <c r="AF283">
        <v>0.47</v>
      </c>
      <c r="AG283">
        <v>4.22</v>
      </c>
      <c r="AH283">
        <v>0</v>
      </c>
      <c r="AI283">
        <v>0</v>
      </c>
      <c r="AJ283">
        <v>0</v>
      </c>
      <c r="AK283">
        <v>0</v>
      </c>
      <c r="AL283">
        <v>34040.339999999997</v>
      </c>
      <c r="AM283">
        <v>7300.43</v>
      </c>
      <c r="AN283">
        <v>47393.32</v>
      </c>
      <c r="AO283">
        <v>237424.77</v>
      </c>
      <c r="AP283">
        <v>30906.36</v>
      </c>
      <c r="AQ283">
        <v>8400.9699999999993</v>
      </c>
      <c r="AR283">
        <v>-47392.32</v>
      </c>
      <c r="AS283">
        <v>-237424.77</v>
      </c>
      <c r="AT283">
        <v>0.453592</v>
      </c>
      <c r="AU283">
        <v>0.44043783199999997</v>
      </c>
      <c r="AV283">
        <v>0</v>
      </c>
      <c r="AW283">
        <v>0</v>
      </c>
      <c r="AY283">
        <v>123160.1584</v>
      </c>
      <c r="AZ283">
        <v>1.3274286588849</v>
      </c>
      <c r="BA283">
        <v>130198.170731707</v>
      </c>
      <c r="BB283">
        <v>1.40328483991018</v>
      </c>
      <c r="BC283">
        <v>26.723645811965799</v>
      </c>
    </row>
    <row r="284" spans="1:55" x14ac:dyDescent="0.2">
      <c r="A284" t="s">
        <v>613</v>
      </c>
      <c r="B284" t="s">
        <v>614</v>
      </c>
      <c r="C284">
        <v>2105</v>
      </c>
      <c r="D284">
        <v>273</v>
      </c>
      <c r="E284">
        <v>119</v>
      </c>
      <c r="F284">
        <v>34</v>
      </c>
      <c r="G284">
        <v>427</v>
      </c>
      <c r="H284">
        <v>533</v>
      </c>
      <c r="I284">
        <v>3491</v>
      </c>
      <c r="J284">
        <v>57766.92</v>
      </c>
      <c r="K284">
        <v>760079.3</v>
      </c>
      <c r="L284">
        <v>532055.51</v>
      </c>
      <c r="M284">
        <v>121066.44</v>
      </c>
      <c r="N284">
        <v>377882.67</v>
      </c>
      <c r="O284">
        <v>1056803.04</v>
      </c>
      <c r="P284">
        <v>51248237</v>
      </c>
      <c r="Q284">
        <v>116009.33</v>
      </c>
      <c r="R284">
        <v>10840.76</v>
      </c>
      <c r="S284">
        <v>85987.31</v>
      </c>
      <c r="T284">
        <v>1034758.78</v>
      </c>
      <c r="U284">
        <v>51</v>
      </c>
      <c r="V284">
        <v>86917.52</v>
      </c>
      <c r="W284">
        <v>22608.53</v>
      </c>
      <c r="X284">
        <v>65805.009999999995</v>
      </c>
      <c r="Y284">
        <v>5080172.7</v>
      </c>
      <c r="Z284">
        <v>104015.58</v>
      </c>
      <c r="AA284">
        <v>9390.2000000000007</v>
      </c>
      <c r="AB284">
        <v>74323.88</v>
      </c>
      <c r="AC284">
        <v>899056.06</v>
      </c>
      <c r="AD284">
        <v>1.1599999999999999</v>
      </c>
      <c r="AE284">
        <v>0.94</v>
      </c>
      <c r="AF284">
        <v>0.74</v>
      </c>
      <c r="AG284">
        <v>8.64</v>
      </c>
      <c r="AH284">
        <v>37648.239999999998</v>
      </c>
      <c r="AI284">
        <v>4556.78</v>
      </c>
      <c r="AJ284">
        <v>19083.849999999999</v>
      </c>
      <c r="AK284">
        <v>1362661.2</v>
      </c>
      <c r="AL284">
        <v>190933.1</v>
      </c>
      <c r="AM284">
        <v>31998.73</v>
      </c>
      <c r="AN284">
        <v>140128.89000000001</v>
      </c>
      <c r="AO284">
        <v>5979228.7599999998</v>
      </c>
      <c r="AP284">
        <v>419483.5</v>
      </c>
      <c r="AQ284">
        <v>95351.69</v>
      </c>
      <c r="AR284">
        <v>304657.24</v>
      </c>
      <c r="AS284">
        <v>-5250328.1399999997</v>
      </c>
      <c r="AT284">
        <v>23.133192000000001</v>
      </c>
      <c r="AU284">
        <v>22.462329432000001</v>
      </c>
      <c r="AV284">
        <v>19496628.077093001</v>
      </c>
      <c r="AW284">
        <v>193995588.82216999</v>
      </c>
      <c r="AX284">
        <v>9.9502123164620002</v>
      </c>
      <c r="AY284">
        <v>746348.606399999</v>
      </c>
      <c r="AZ284">
        <v>0.98193518281579195</v>
      </c>
      <c r="BA284">
        <v>931132.80487804802</v>
      </c>
      <c r="BB284">
        <v>1.2250469192859801</v>
      </c>
      <c r="BC284">
        <v>20.740708449729802</v>
      </c>
    </row>
    <row r="285" spans="1:55" x14ac:dyDescent="0.2">
      <c r="A285" t="s">
        <v>615</v>
      </c>
      <c r="B285" t="s">
        <v>616</v>
      </c>
      <c r="C285">
        <v>0</v>
      </c>
      <c r="D285">
        <v>0</v>
      </c>
      <c r="E285">
        <v>120</v>
      </c>
      <c r="F285">
        <v>125</v>
      </c>
      <c r="G285">
        <v>0</v>
      </c>
      <c r="H285">
        <v>0</v>
      </c>
      <c r="I285">
        <v>245</v>
      </c>
      <c r="J285">
        <v>2465.1999999999998</v>
      </c>
      <c r="K285">
        <v>23314.2</v>
      </c>
      <c r="L285">
        <v>16319.94</v>
      </c>
      <c r="M285">
        <v>3945.48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50777.96</v>
      </c>
      <c r="W285">
        <v>17217.669999999998</v>
      </c>
      <c r="X285">
        <v>52139.38</v>
      </c>
      <c r="Y285">
        <v>1325517.24</v>
      </c>
      <c r="Z285">
        <v>0</v>
      </c>
      <c r="AA285">
        <v>0</v>
      </c>
      <c r="AB285">
        <v>0</v>
      </c>
      <c r="AC285">
        <v>0</v>
      </c>
      <c r="AD285">
        <v>0.85</v>
      </c>
      <c r="AE285">
        <v>1.39</v>
      </c>
      <c r="AF285">
        <v>0.52</v>
      </c>
      <c r="AG285">
        <v>4.6900000000000004</v>
      </c>
      <c r="AH285">
        <v>0</v>
      </c>
      <c r="AI285">
        <v>0</v>
      </c>
      <c r="AJ285">
        <v>0</v>
      </c>
      <c r="AK285">
        <v>0</v>
      </c>
      <c r="AL285">
        <v>50777.96</v>
      </c>
      <c r="AM285">
        <v>17217.669999999998</v>
      </c>
      <c r="AN285">
        <v>52139.38</v>
      </c>
      <c r="AO285">
        <v>1325517.24</v>
      </c>
      <c r="AP285">
        <v>-34458.019999999997</v>
      </c>
      <c r="AQ285">
        <v>-13272.1899999999</v>
      </c>
      <c r="AR285">
        <v>-52138.38</v>
      </c>
      <c r="AS285">
        <v>-1325517.24</v>
      </c>
      <c r="AT285">
        <v>0.453592</v>
      </c>
      <c r="AU285">
        <v>0.44043783199999997</v>
      </c>
      <c r="AV285">
        <v>0</v>
      </c>
      <c r="AW285">
        <v>0</v>
      </c>
      <c r="AY285">
        <v>31850.383999999998</v>
      </c>
      <c r="AZ285">
        <v>1.36613668922802</v>
      </c>
      <c r="BA285">
        <v>32716.463414634101</v>
      </c>
      <c r="BB285">
        <v>1.40328483991018</v>
      </c>
      <c r="BC285">
        <v>27.502911564625801</v>
      </c>
    </row>
    <row r="286" spans="1:55" x14ac:dyDescent="0.2">
      <c r="A286" t="s">
        <v>617</v>
      </c>
      <c r="B286" t="s">
        <v>618</v>
      </c>
      <c r="C286">
        <v>0</v>
      </c>
      <c r="D286">
        <v>0</v>
      </c>
      <c r="E286">
        <v>55</v>
      </c>
      <c r="F286">
        <v>30</v>
      </c>
      <c r="G286">
        <v>35</v>
      </c>
      <c r="H286">
        <v>60</v>
      </c>
      <c r="I286">
        <v>180</v>
      </c>
      <c r="J286">
        <v>1201.54</v>
      </c>
      <c r="K286">
        <v>12956.4</v>
      </c>
      <c r="L286">
        <v>9069.48</v>
      </c>
      <c r="M286">
        <v>1713.06</v>
      </c>
      <c r="N286">
        <v>1</v>
      </c>
      <c r="O286">
        <v>0</v>
      </c>
      <c r="P286">
        <v>2860000</v>
      </c>
      <c r="Q286">
        <v>3433.23</v>
      </c>
      <c r="R286">
        <v>1403.65</v>
      </c>
      <c r="S286">
        <v>12753</v>
      </c>
      <c r="T286">
        <v>69430.399999999994</v>
      </c>
      <c r="U286">
        <v>70</v>
      </c>
      <c r="V286">
        <v>0</v>
      </c>
      <c r="W286">
        <v>0</v>
      </c>
      <c r="X286">
        <v>0</v>
      </c>
      <c r="Y286">
        <v>0</v>
      </c>
      <c r="Z286">
        <v>33804.76</v>
      </c>
      <c r="AA286">
        <v>5901.87</v>
      </c>
      <c r="AB286">
        <v>56955.46</v>
      </c>
      <c r="AC286">
        <v>308230.92</v>
      </c>
      <c r="AD286">
        <v>1.17</v>
      </c>
      <c r="AE286">
        <v>0.89</v>
      </c>
      <c r="AF286">
        <v>1.23</v>
      </c>
      <c r="AG286">
        <v>1.53</v>
      </c>
      <c r="AH286">
        <v>0</v>
      </c>
      <c r="AI286">
        <v>0</v>
      </c>
      <c r="AJ286">
        <v>0</v>
      </c>
      <c r="AK286">
        <v>0</v>
      </c>
      <c r="AL286">
        <v>33804.76</v>
      </c>
      <c r="AM286">
        <v>5901.87</v>
      </c>
      <c r="AN286">
        <v>56955.46</v>
      </c>
      <c r="AO286">
        <v>308230.92</v>
      </c>
      <c r="AP286">
        <v>-21302.05</v>
      </c>
      <c r="AQ286">
        <v>-2785.16</v>
      </c>
      <c r="AR286">
        <v>-44201.46</v>
      </c>
      <c r="AS286">
        <v>-238800.52</v>
      </c>
      <c r="AT286">
        <v>31.751439999999999</v>
      </c>
      <c r="AU286">
        <v>30.830648239999999</v>
      </c>
      <c r="AV286">
        <v>0</v>
      </c>
      <c r="AW286">
        <v>10826272.6</v>
      </c>
      <c r="AY286">
        <v>15523.8967999999</v>
      </c>
      <c r="AZ286">
        <v>1.1981643666450501</v>
      </c>
      <c r="BA286">
        <v>15579.2682926829</v>
      </c>
      <c r="BB286">
        <v>1.2024380454974299</v>
      </c>
      <c r="BC286">
        <v>18.245607407407402</v>
      </c>
    </row>
    <row r="287" spans="1:55" x14ac:dyDescent="0.2">
      <c r="A287" t="s">
        <v>619</v>
      </c>
      <c r="B287" t="s">
        <v>620</v>
      </c>
      <c r="C287">
        <v>2200</v>
      </c>
      <c r="D287">
        <v>400</v>
      </c>
      <c r="E287">
        <v>1300</v>
      </c>
      <c r="F287">
        <v>1200</v>
      </c>
      <c r="G287">
        <v>400</v>
      </c>
      <c r="H287">
        <v>400</v>
      </c>
      <c r="I287">
        <v>5900</v>
      </c>
      <c r="J287">
        <v>92488.83</v>
      </c>
      <c r="K287">
        <v>1129185.3600000001</v>
      </c>
      <c r="L287">
        <v>790429.75</v>
      </c>
      <c r="M287">
        <v>184921.19</v>
      </c>
      <c r="N287">
        <v>438417.56</v>
      </c>
      <c r="O287">
        <v>1130940</v>
      </c>
      <c r="P287">
        <v>58673040</v>
      </c>
      <c r="Q287">
        <v>225076.36</v>
      </c>
      <c r="R287">
        <v>22050.28</v>
      </c>
      <c r="S287">
        <v>361783.19</v>
      </c>
      <c r="T287">
        <v>2567502.5699999998</v>
      </c>
      <c r="U287">
        <v>81</v>
      </c>
      <c r="V287">
        <v>70124.09</v>
      </c>
      <c r="W287">
        <v>22907.48</v>
      </c>
      <c r="X287">
        <v>123840.02</v>
      </c>
      <c r="Y287">
        <v>591442.24</v>
      </c>
      <c r="Z287">
        <v>131397.62</v>
      </c>
      <c r="AA287">
        <v>11790.16</v>
      </c>
      <c r="AB287">
        <v>213059.09</v>
      </c>
      <c r="AC287">
        <v>1464208.81</v>
      </c>
      <c r="AD287">
        <v>1.1599999999999999</v>
      </c>
      <c r="AE287">
        <v>1</v>
      </c>
      <c r="AF287">
        <v>1.38</v>
      </c>
      <c r="AG287">
        <v>4.26</v>
      </c>
      <c r="AH287">
        <v>93678.73</v>
      </c>
      <c r="AI287">
        <v>10260.120000000001</v>
      </c>
      <c r="AJ287">
        <v>148724.10999999999</v>
      </c>
      <c r="AK287">
        <v>1103293.76</v>
      </c>
      <c r="AL287">
        <v>201521.71</v>
      </c>
      <c r="AM287">
        <v>34697.64</v>
      </c>
      <c r="AN287">
        <v>336899.11</v>
      </c>
      <c r="AO287">
        <v>2055651.05</v>
      </c>
      <c r="AP287">
        <v>720305.67</v>
      </c>
      <c r="AQ287">
        <v>162013.71</v>
      </c>
      <c r="AR287">
        <v>314577.53000000003</v>
      </c>
      <c r="AS287">
        <v>539497.75999999896</v>
      </c>
      <c r="AT287">
        <v>36.740952</v>
      </c>
      <c r="AU287">
        <v>35.675464392000002</v>
      </c>
      <c r="AV287">
        <v>33856015.708007999</v>
      </c>
      <c r="AW287">
        <v>222101512.34639999</v>
      </c>
      <c r="AX287">
        <v>6.5601786773115798</v>
      </c>
      <c r="AY287">
        <v>1194955.6836000001</v>
      </c>
      <c r="AZ287">
        <v>1.0582458167895401</v>
      </c>
      <c r="BA287">
        <v>1318451.21951219</v>
      </c>
      <c r="BB287">
        <v>1.16761274651328</v>
      </c>
      <c r="BC287">
        <v>24.292389686098598</v>
      </c>
    </row>
    <row r="288" spans="1:55" x14ac:dyDescent="0.2">
      <c r="A288" t="s">
        <v>621</v>
      </c>
      <c r="B288" t="s">
        <v>622</v>
      </c>
      <c r="C288">
        <v>885</v>
      </c>
      <c r="D288">
        <v>150</v>
      </c>
      <c r="E288">
        <v>150</v>
      </c>
      <c r="F288">
        <v>0</v>
      </c>
      <c r="G288">
        <v>0</v>
      </c>
      <c r="H288">
        <v>0</v>
      </c>
      <c r="I288">
        <v>1185</v>
      </c>
      <c r="J288">
        <v>25960.35</v>
      </c>
      <c r="K288">
        <v>332539.98</v>
      </c>
      <c r="L288">
        <v>232777.99</v>
      </c>
      <c r="M288">
        <v>55173.14</v>
      </c>
      <c r="N288">
        <v>167034.82</v>
      </c>
      <c r="O288">
        <v>452430.9</v>
      </c>
      <c r="P288">
        <v>33300000</v>
      </c>
      <c r="Q288">
        <v>78000.05</v>
      </c>
      <c r="R288">
        <v>11587.2</v>
      </c>
      <c r="S288">
        <v>98463.66</v>
      </c>
      <c r="T288">
        <v>1106276.6200000001</v>
      </c>
      <c r="U288">
        <v>65</v>
      </c>
      <c r="V288">
        <v>60491.67</v>
      </c>
      <c r="W288">
        <v>26837.07</v>
      </c>
      <c r="X288">
        <v>136399.04000000001</v>
      </c>
      <c r="Y288">
        <v>3296473.77</v>
      </c>
      <c r="Z288">
        <v>78000.05</v>
      </c>
      <c r="AA288">
        <v>11587.2</v>
      </c>
      <c r="AB288">
        <v>98463.66</v>
      </c>
      <c r="AC288">
        <v>1106276.6200000001</v>
      </c>
      <c r="AD288">
        <v>1.03</v>
      </c>
      <c r="AE288">
        <v>0.99</v>
      </c>
      <c r="AF288">
        <v>0.88</v>
      </c>
      <c r="AG288">
        <v>8.1999999999999993</v>
      </c>
      <c r="AH288">
        <v>0</v>
      </c>
      <c r="AI288">
        <v>0</v>
      </c>
      <c r="AJ288">
        <v>0</v>
      </c>
      <c r="AK288">
        <v>0</v>
      </c>
      <c r="AL288">
        <v>138491.72</v>
      </c>
      <c r="AM288">
        <v>38424.269999999997</v>
      </c>
      <c r="AN288">
        <v>234862.7</v>
      </c>
      <c r="AO288">
        <v>4402750.3899999997</v>
      </c>
      <c r="AP288">
        <v>172286.31999999899</v>
      </c>
      <c r="AQ288">
        <v>28336.069999999901</v>
      </c>
      <c r="AR288">
        <v>30635.779999999901</v>
      </c>
      <c r="AS288">
        <v>-2844042.87</v>
      </c>
      <c r="AT288">
        <v>29.48348</v>
      </c>
      <c r="AU288">
        <v>28.628459079999999</v>
      </c>
      <c r="AV288">
        <v>10815116.128946999</v>
      </c>
      <c r="AW288">
        <v>126054153</v>
      </c>
      <c r="AX288">
        <v>11.655367496481301</v>
      </c>
      <c r="AY288">
        <v>335407.72199999902</v>
      </c>
      <c r="AZ288">
        <v>1.0086237510449101</v>
      </c>
      <c r="BA288">
        <v>397805.48780487798</v>
      </c>
      <c r="BB288">
        <v>1.19626364265998</v>
      </c>
      <c r="BC288">
        <v>23.819499832158399</v>
      </c>
    </row>
    <row r="289" spans="1:55" x14ac:dyDescent="0.2">
      <c r="A289" t="s">
        <v>623</v>
      </c>
      <c r="B289" t="s">
        <v>624</v>
      </c>
      <c r="C289">
        <v>1638</v>
      </c>
      <c r="D289">
        <v>218</v>
      </c>
      <c r="E289">
        <v>147</v>
      </c>
      <c r="F289">
        <v>105</v>
      </c>
      <c r="G289">
        <v>0</v>
      </c>
      <c r="H289">
        <v>0</v>
      </c>
      <c r="I289">
        <v>2108</v>
      </c>
      <c r="J289">
        <v>48701.83</v>
      </c>
      <c r="K289">
        <v>622292.99</v>
      </c>
      <c r="L289">
        <v>435605.09</v>
      </c>
      <c r="M289">
        <v>103971.37</v>
      </c>
      <c r="N289">
        <v>317788.89</v>
      </c>
      <c r="O289">
        <v>823631.76</v>
      </c>
      <c r="P289">
        <v>39719500</v>
      </c>
      <c r="Q289">
        <v>125669.62</v>
      </c>
      <c r="R289">
        <v>13839.67</v>
      </c>
      <c r="S289">
        <v>91202.84</v>
      </c>
      <c r="T289">
        <v>796683.38</v>
      </c>
      <c r="U289">
        <v>73</v>
      </c>
      <c r="V289">
        <v>0</v>
      </c>
      <c r="W289">
        <v>0</v>
      </c>
      <c r="X289">
        <v>0</v>
      </c>
      <c r="Y289">
        <v>0</v>
      </c>
      <c r="Z289">
        <v>116166.11</v>
      </c>
      <c r="AA289">
        <v>13845.62</v>
      </c>
      <c r="AB289">
        <v>97130.03</v>
      </c>
      <c r="AC289">
        <v>805032.97</v>
      </c>
      <c r="AD289">
        <v>1.18</v>
      </c>
      <c r="AE289">
        <v>0.71</v>
      </c>
      <c r="AF289">
        <v>0.74</v>
      </c>
      <c r="AG289">
        <v>2.0499999999999998</v>
      </c>
      <c r="AH289">
        <v>159817.9</v>
      </c>
      <c r="AI289">
        <v>18315.11</v>
      </c>
      <c r="AJ289">
        <v>56621.14</v>
      </c>
      <c r="AK289">
        <v>550400.51</v>
      </c>
      <c r="AL289">
        <v>116166.11</v>
      </c>
      <c r="AM289">
        <v>13845.62</v>
      </c>
      <c r="AN289">
        <v>97130.03</v>
      </c>
      <c r="AO289">
        <v>805032.97</v>
      </c>
      <c r="AP289">
        <v>285290.69999999902</v>
      </c>
      <c r="AQ289">
        <v>85650.31</v>
      </c>
      <c r="AR289">
        <v>255240.55999999901</v>
      </c>
      <c r="AS289">
        <v>264881.65999999997</v>
      </c>
      <c r="AT289">
        <v>33.112215999999997</v>
      </c>
      <c r="AU289">
        <v>32.151961735999997</v>
      </c>
      <c r="AV289">
        <v>21781024.9584358</v>
      </c>
      <c r="AW289">
        <v>150354592.495</v>
      </c>
      <c r="AX289">
        <v>6.9030081358392303</v>
      </c>
      <c r="AY289">
        <v>629227.64359999995</v>
      </c>
      <c r="AZ289">
        <v>1.0111437115819</v>
      </c>
      <c r="BA289">
        <v>711091.21951219498</v>
      </c>
      <c r="BB289">
        <v>1.14269521100052</v>
      </c>
      <c r="BC289">
        <v>24.998435449947401</v>
      </c>
    </row>
    <row r="290" spans="1:55" x14ac:dyDescent="0.2">
      <c r="A290" t="s">
        <v>625</v>
      </c>
      <c r="B290" t="s">
        <v>626</v>
      </c>
      <c r="C290">
        <v>2920</v>
      </c>
      <c r="D290">
        <v>410</v>
      </c>
      <c r="E290">
        <v>1120</v>
      </c>
      <c r="F290">
        <v>650</v>
      </c>
      <c r="G290">
        <v>0</v>
      </c>
      <c r="H290">
        <v>0</v>
      </c>
      <c r="I290">
        <v>5100</v>
      </c>
      <c r="J290">
        <v>99212.64</v>
      </c>
      <c r="K290">
        <v>1238934.83</v>
      </c>
      <c r="L290">
        <v>867254.38</v>
      </c>
      <c r="M290">
        <v>207131.9</v>
      </c>
      <c r="N290">
        <v>566510.1</v>
      </c>
      <c r="O290">
        <v>1473186.6</v>
      </c>
      <c r="P290">
        <v>49633890</v>
      </c>
      <c r="Q290">
        <v>294798.68</v>
      </c>
      <c r="R290">
        <v>13776.4</v>
      </c>
      <c r="S290">
        <v>351289.89</v>
      </c>
      <c r="T290">
        <v>2541373.29</v>
      </c>
      <c r="U290">
        <v>73</v>
      </c>
      <c r="V290">
        <v>95567.07</v>
      </c>
      <c r="W290">
        <v>28651.599999999999</v>
      </c>
      <c r="X290">
        <v>99770.85</v>
      </c>
      <c r="Y290">
        <v>1562195.48</v>
      </c>
      <c r="Z290">
        <v>294798.68</v>
      </c>
      <c r="AA290">
        <v>13776.4</v>
      </c>
      <c r="AB290">
        <v>351289.89</v>
      </c>
      <c r="AC290">
        <v>2541373.29</v>
      </c>
      <c r="AD290">
        <v>1.25</v>
      </c>
      <c r="AE290">
        <v>0.57999999999999996</v>
      </c>
      <c r="AF290">
        <v>0.77</v>
      </c>
      <c r="AG290">
        <v>1.74</v>
      </c>
      <c r="AH290">
        <v>328538.5</v>
      </c>
      <c r="AI290">
        <v>52439.8</v>
      </c>
      <c r="AJ290">
        <v>114988.47</v>
      </c>
      <c r="AK290">
        <v>2716760.64</v>
      </c>
      <c r="AL290">
        <v>390365.75</v>
      </c>
      <c r="AM290">
        <v>42428</v>
      </c>
      <c r="AN290">
        <v>451060.74</v>
      </c>
      <c r="AO290">
        <v>4103568.77</v>
      </c>
      <c r="AP290">
        <v>443148.81</v>
      </c>
      <c r="AQ290">
        <v>126040.499999999</v>
      </c>
      <c r="AR290">
        <v>351750.78</v>
      </c>
      <c r="AS290">
        <v>-2805769.52</v>
      </c>
      <c r="AT290">
        <v>33.112215999999997</v>
      </c>
      <c r="AU290">
        <v>32.151961735999997</v>
      </c>
      <c r="AV290">
        <v>39079101.892021202</v>
      </c>
      <c r="AW290">
        <v>187884623.5449</v>
      </c>
      <c r="AX290">
        <v>4.80780300591453</v>
      </c>
      <c r="AY290">
        <v>1281827.3088</v>
      </c>
      <c r="AZ290">
        <v>1.03462044795366</v>
      </c>
      <c r="BA290">
        <v>1451809.75609756</v>
      </c>
      <c r="BB290">
        <v>1.1718209230565899</v>
      </c>
      <c r="BC290">
        <v>24.9430846210448</v>
      </c>
    </row>
    <row r="291" spans="1:55" x14ac:dyDescent="0.2">
      <c r="A291" t="s">
        <v>627</v>
      </c>
      <c r="B291" t="s">
        <v>628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0.7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3566.4</v>
      </c>
      <c r="W291">
        <v>1673.24</v>
      </c>
      <c r="X291">
        <v>8083.84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0.69</v>
      </c>
      <c r="AE291">
        <v>0.28999999999999998</v>
      </c>
      <c r="AF291">
        <v>0.22</v>
      </c>
      <c r="AG291">
        <v>0.03</v>
      </c>
      <c r="AH291">
        <v>0</v>
      </c>
      <c r="AI291">
        <v>0</v>
      </c>
      <c r="AJ291">
        <v>0</v>
      </c>
      <c r="AK291">
        <v>0</v>
      </c>
      <c r="AL291">
        <v>3566.4</v>
      </c>
      <c r="AM291">
        <v>1673.24</v>
      </c>
      <c r="AN291">
        <v>8083.84</v>
      </c>
      <c r="AO291">
        <v>0</v>
      </c>
      <c r="AP291">
        <v>-3565.7</v>
      </c>
      <c r="AQ291">
        <v>-1672.24</v>
      </c>
      <c r="AR291">
        <v>-8082.84</v>
      </c>
      <c r="AS291">
        <v>0</v>
      </c>
      <c r="AT291">
        <v>0.453592</v>
      </c>
      <c r="AU291">
        <v>0.44043783199999997</v>
      </c>
      <c r="AV291">
        <v>0</v>
      </c>
      <c r="AW291">
        <v>0</v>
      </c>
    </row>
    <row r="292" spans="1:55" x14ac:dyDescent="0.2">
      <c r="A292" t="s">
        <v>629</v>
      </c>
      <c r="B292" t="s">
        <v>630</v>
      </c>
      <c r="C292">
        <v>700</v>
      </c>
      <c r="D292">
        <v>110</v>
      </c>
      <c r="E292">
        <v>200</v>
      </c>
      <c r="F292">
        <v>250</v>
      </c>
      <c r="G292">
        <v>50</v>
      </c>
      <c r="H292">
        <v>0</v>
      </c>
      <c r="I292">
        <v>1310</v>
      </c>
      <c r="J292">
        <v>23821.49</v>
      </c>
      <c r="K292">
        <v>295537.94</v>
      </c>
      <c r="L292">
        <v>206876.56</v>
      </c>
      <c r="M292">
        <v>48948.29</v>
      </c>
      <c r="N292">
        <v>132117.94</v>
      </c>
      <c r="O292">
        <v>355861.8</v>
      </c>
      <c r="P292">
        <v>49896000</v>
      </c>
      <c r="Q292">
        <v>136871.65</v>
      </c>
      <c r="R292">
        <v>32068.45</v>
      </c>
      <c r="S292">
        <v>269647.08</v>
      </c>
      <c r="T292">
        <v>1711456.69</v>
      </c>
      <c r="U292">
        <v>65</v>
      </c>
      <c r="V292">
        <v>34572.35</v>
      </c>
      <c r="W292">
        <v>11262.94</v>
      </c>
      <c r="X292">
        <v>48627.92</v>
      </c>
      <c r="Y292">
        <v>814127.8</v>
      </c>
      <c r="Z292">
        <v>136871.65</v>
      </c>
      <c r="AA292">
        <v>32068.45</v>
      </c>
      <c r="AB292">
        <v>269647.08</v>
      </c>
      <c r="AC292">
        <v>1711456.69</v>
      </c>
      <c r="AD292">
        <v>0.94</v>
      </c>
      <c r="AE292">
        <v>1.28</v>
      </c>
      <c r="AF292">
        <v>1.33</v>
      </c>
      <c r="AG292">
        <v>5.87</v>
      </c>
      <c r="AH292">
        <v>0</v>
      </c>
      <c r="AI292">
        <v>0</v>
      </c>
      <c r="AJ292">
        <v>0</v>
      </c>
      <c r="AK292">
        <v>0</v>
      </c>
      <c r="AL292">
        <v>171444</v>
      </c>
      <c r="AM292">
        <v>43331.39</v>
      </c>
      <c r="AN292">
        <v>318275</v>
      </c>
      <c r="AO292">
        <v>2525584.4900000002</v>
      </c>
      <c r="AP292">
        <v>172304.209999999</v>
      </c>
      <c r="AQ292">
        <v>37685.35</v>
      </c>
      <c r="AR292">
        <v>83490.02</v>
      </c>
      <c r="AS292">
        <v>-458266</v>
      </c>
      <c r="AT292">
        <v>29.48348</v>
      </c>
      <c r="AU292">
        <v>28.628459079999999</v>
      </c>
      <c r="AV292">
        <v>8464003.9270019997</v>
      </c>
      <c r="AW292">
        <v>188876817.36000001</v>
      </c>
      <c r="AX292">
        <v>22.315303606776698</v>
      </c>
      <c r="AY292">
        <v>307773.6508</v>
      </c>
      <c r="AZ292">
        <v>1.04140148909476</v>
      </c>
      <c r="BA292">
        <v>357967.07317073102</v>
      </c>
      <c r="BB292">
        <v>1.21123898058818</v>
      </c>
      <c r="BC292">
        <v>23.991183738639101</v>
      </c>
    </row>
    <row r="293" spans="1:55" x14ac:dyDescent="0.2">
      <c r="A293" t="s">
        <v>631</v>
      </c>
      <c r="B293" t="s">
        <v>632</v>
      </c>
      <c r="C293">
        <v>1800</v>
      </c>
      <c r="D293">
        <v>270</v>
      </c>
      <c r="E293">
        <v>900</v>
      </c>
      <c r="F293">
        <v>600</v>
      </c>
      <c r="G293">
        <v>350</v>
      </c>
      <c r="H293">
        <v>0</v>
      </c>
      <c r="I293">
        <v>3920</v>
      </c>
      <c r="J293">
        <v>68520.27</v>
      </c>
      <c r="K293">
        <v>840348.47</v>
      </c>
      <c r="L293">
        <v>588243.93000000005</v>
      </c>
      <c r="M293">
        <v>139009.68</v>
      </c>
      <c r="N293">
        <v>356333.6</v>
      </c>
      <c r="O293">
        <v>912108.6</v>
      </c>
      <c r="P293">
        <v>41025750</v>
      </c>
      <c r="Q293">
        <v>175614.09</v>
      </c>
      <c r="R293">
        <v>19465.18</v>
      </c>
      <c r="S293">
        <v>226272.18</v>
      </c>
      <c r="T293">
        <v>1736174.87</v>
      </c>
      <c r="U293">
        <v>79</v>
      </c>
      <c r="V293">
        <v>14186.5</v>
      </c>
      <c r="W293">
        <v>6641.11</v>
      </c>
      <c r="X293">
        <v>25205.38</v>
      </c>
      <c r="Y293">
        <v>192835.49</v>
      </c>
      <c r="Z293">
        <v>175614.09</v>
      </c>
      <c r="AA293">
        <v>19465.18</v>
      </c>
      <c r="AB293">
        <v>226272.18</v>
      </c>
      <c r="AC293">
        <v>1736174.87</v>
      </c>
      <c r="AD293">
        <v>1.01</v>
      </c>
      <c r="AE293">
        <v>0.64</v>
      </c>
      <c r="AF293">
        <v>0.69</v>
      </c>
      <c r="AG293">
        <v>1.2</v>
      </c>
      <c r="AH293">
        <v>213823.47</v>
      </c>
      <c r="AI293">
        <v>64914.6</v>
      </c>
      <c r="AJ293">
        <v>249373.32</v>
      </c>
      <c r="AK293">
        <v>2943357.41</v>
      </c>
      <c r="AL293">
        <v>189800.59</v>
      </c>
      <c r="AM293">
        <v>26106.29</v>
      </c>
      <c r="AN293">
        <v>251477.56</v>
      </c>
      <c r="AO293">
        <v>1929010.36</v>
      </c>
      <c r="AP293">
        <v>360233.96</v>
      </c>
      <c r="AQ293">
        <v>67453.969999999899</v>
      </c>
      <c r="AR293">
        <v>81754.899999999994</v>
      </c>
      <c r="AS293">
        <v>-2224084.2999999998</v>
      </c>
      <c r="AT293">
        <v>35.833767999999999</v>
      </c>
      <c r="AU293">
        <v>34.794588728000001</v>
      </c>
      <c r="AV293">
        <v>26289051.5134404</v>
      </c>
      <c r="AW293">
        <v>155299284.3075</v>
      </c>
      <c r="AX293">
        <v>5.9073749476318103</v>
      </c>
      <c r="AY293">
        <v>885281.88840000005</v>
      </c>
      <c r="AZ293">
        <v>1.0534699829940699</v>
      </c>
      <c r="BA293">
        <v>971434.14634146297</v>
      </c>
      <c r="BB293">
        <v>1.1559896650272501</v>
      </c>
      <c r="BC293">
        <v>24.945223494938698</v>
      </c>
    </row>
    <row r="294" spans="1:55" x14ac:dyDescent="0.2">
      <c r="A294" t="s">
        <v>633</v>
      </c>
      <c r="B294" t="s">
        <v>634</v>
      </c>
      <c r="C294">
        <v>0</v>
      </c>
      <c r="D294">
        <v>0</v>
      </c>
      <c r="E294">
        <v>790</v>
      </c>
      <c r="F294">
        <v>1180</v>
      </c>
      <c r="G294">
        <v>195</v>
      </c>
      <c r="H294">
        <v>0</v>
      </c>
      <c r="I294">
        <v>2165</v>
      </c>
      <c r="J294">
        <v>19707.29</v>
      </c>
      <c r="K294">
        <v>197457</v>
      </c>
      <c r="L294">
        <v>138219.9</v>
      </c>
      <c r="M294">
        <v>32431.439999999999</v>
      </c>
      <c r="N294">
        <v>1</v>
      </c>
      <c r="O294">
        <v>0</v>
      </c>
      <c r="P294">
        <v>26518800</v>
      </c>
      <c r="Q294">
        <v>30096.720000000001</v>
      </c>
      <c r="R294">
        <v>3474.4</v>
      </c>
      <c r="S294">
        <v>38063.49</v>
      </c>
      <c r="T294">
        <v>221299.39</v>
      </c>
      <c r="U294">
        <v>1</v>
      </c>
      <c r="V294">
        <v>36549.57</v>
      </c>
      <c r="W294">
        <v>9847.5499999999993</v>
      </c>
      <c r="X294">
        <v>36360.19</v>
      </c>
      <c r="Y294">
        <v>869235.84</v>
      </c>
      <c r="Z294">
        <v>30096.720000000001</v>
      </c>
      <c r="AA294">
        <v>3474.4</v>
      </c>
      <c r="AB294">
        <v>38063.49</v>
      </c>
      <c r="AC294">
        <v>221299.39</v>
      </c>
      <c r="AD294">
        <v>1.2</v>
      </c>
      <c r="AE294">
        <v>0.83</v>
      </c>
      <c r="AF294">
        <v>0.79</v>
      </c>
      <c r="AG294">
        <v>3.18</v>
      </c>
      <c r="AH294">
        <v>0</v>
      </c>
      <c r="AI294">
        <v>0</v>
      </c>
      <c r="AJ294">
        <v>0</v>
      </c>
      <c r="AK294">
        <v>0</v>
      </c>
      <c r="AL294">
        <v>66646.289999999994</v>
      </c>
      <c r="AM294">
        <v>13321.949999999901</v>
      </c>
      <c r="AN294">
        <v>74423.679999999993</v>
      </c>
      <c r="AO294">
        <v>1090535.23</v>
      </c>
      <c r="AP294">
        <v>101670.329999999</v>
      </c>
      <c r="AQ294">
        <v>22583.89</v>
      </c>
      <c r="AR294">
        <v>-36359.1899999999</v>
      </c>
      <c r="AS294">
        <v>-869235.84</v>
      </c>
      <c r="AT294">
        <v>0.453592</v>
      </c>
      <c r="AU294">
        <v>0.44043783199999997</v>
      </c>
      <c r="AV294">
        <v>0</v>
      </c>
      <c r="AW294">
        <v>100384530.708</v>
      </c>
      <c r="AY294">
        <v>254618.1868</v>
      </c>
      <c r="AZ294">
        <v>1.2894867581296099</v>
      </c>
      <c r="BA294">
        <v>271746.95121951198</v>
      </c>
      <c r="BB294">
        <v>1.37623356588782</v>
      </c>
      <c r="BC294">
        <v>24.880643264049201</v>
      </c>
    </row>
    <row r="295" spans="1:55" x14ac:dyDescent="0.2">
      <c r="A295" t="s">
        <v>635</v>
      </c>
      <c r="B295" t="s">
        <v>636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1</v>
      </c>
      <c r="L295">
        <v>0.7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-7.16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41973.88</v>
      </c>
      <c r="AA295">
        <v>4391.93</v>
      </c>
      <c r="AB295">
        <v>41013.379999999997</v>
      </c>
      <c r="AC295">
        <v>510986.39</v>
      </c>
      <c r="AD295">
        <v>1.04</v>
      </c>
      <c r="AE295">
        <v>0.39</v>
      </c>
      <c r="AF295">
        <v>0.46</v>
      </c>
      <c r="AG295">
        <v>3.1</v>
      </c>
      <c r="AH295">
        <v>0</v>
      </c>
      <c r="AI295">
        <v>0</v>
      </c>
      <c r="AJ295">
        <v>0</v>
      </c>
      <c r="AK295">
        <v>0</v>
      </c>
      <c r="AL295">
        <v>41973.88</v>
      </c>
      <c r="AM295">
        <v>4391.93</v>
      </c>
      <c r="AN295">
        <v>41013.379999999997</v>
      </c>
      <c r="AO295">
        <v>510986.39</v>
      </c>
      <c r="AP295">
        <v>-41973.18</v>
      </c>
      <c r="AQ295">
        <v>-4398.09</v>
      </c>
      <c r="AR295">
        <v>-41012.379999999997</v>
      </c>
      <c r="AS295">
        <v>-510986.39</v>
      </c>
      <c r="AT295">
        <v>0.453592</v>
      </c>
      <c r="AU295">
        <v>0.44043783199999997</v>
      </c>
      <c r="AV295">
        <v>0</v>
      </c>
      <c r="AW295">
        <v>0</v>
      </c>
    </row>
    <row r="296" spans="1:55" x14ac:dyDescent="0.2">
      <c r="A296" t="s">
        <v>314</v>
      </c>
      <c r="C296">
        <v>314</v>
      </c>
      <c r="D296">
        <v>17</v>
      </c>
      <c r="E296">
        <v>93</v>
      </c>
      <c r="F296">
        <v>79</v>
      </c>
      <c r="G296">
        <v>68</v>
      </c>
      <c r="H296">
        <v>32</v>
      </c>
      <c r="I296">
        <v>603</v>
      </c>
      <c r="J296">
        <v>10228.77</v>
      </c>
      <c r="K296">
        <v>127301.55</v>
      </c>
      <c r="L296">
        <v>89111.09</v>
      </c>
      <c r="M296">
        <v>20886.95</v>
      </c>
      <c r="N296">
        <v>59057.47</v>
      </c>
      <c r="O296">
        <v>152171.82</v>
      </c>
      <c r="P296">
        <v>2130000</v>
      </c>
      <c r="Q296">
        <v>11136.82</v>
      </c>
      <c r="R296">
        <v>1433</v>
      </c>
      <c r="S296">
        <v>32049.81</v>
      </c>
      <c r="T296">
        <v>152000</v>
      </c>
      <c r="U296">
        <v>64</v>
      </c>
      <c r="V296">
        <v>8965.44</v>
      </c>
      <c r="W296">
        <v>2970.94</v>
      </c>
      <c r="X296">
        <v>8634.34</v>
      </c>
      <c r="Y296">
        <v>32252.16</v>
      </c>
      <c r="Z296">
        <v>11136.82</v>
      </c>
      <c r="AA296">
        <v>1433</v>
      </c>
      <c r="AB296">
        <v>32049.81</v>
      </c>
      <c r="AC296">
        <v>152000</v>
      </c>
      <c r="AD296">
        <v>1.37</v>
      </c>
      <c r="AE296">
        <v>1.73</v>
      </c>
      <c r="AF296">
        <v>1.49</v>
      </c>
      <c r="AG296">
        <v>2.62</v>
      </c>
      <c r="AH296">
        <v>0</v>
      </c>
      <c r="AI296">
        <v>0</v>
      </c>
      <c r="AJ296">
        <v>0</v>
      </c>
      <c r="AK296">
        <v>0</v>
      </c>
      <c r="AL296">
        <v>20102.259999999998</v>
      </c>
      <c r="AM296">
        <v>4403.9399999999996</v>
      </c>
      <c r="AN296">
        <v>40684.15</v>
      </c>
      <c r="AO296">
        <v>184252.16</v>
      </c>
      <c r="AP296">
        <v>80145.649999999994</v>
      </c>
      <c r="AQ296">
        <v>17916.009999999998</v>
      </c>
      <c r="AR296">
        <v>50423.13</v>
      </c>
      <c r="AS296">
        <v>119919.66</v>
      </c>
      <c r="AT296">
        <v>29.029888</v>
      </c>
      <c r="AU296">
        <v>28.188021247999998</v>
      </c>
      <c r="AV296">
        <v>3405535.78707712</v>
      </c>
      <c r="AW296">
        <v>8062923.2999999998</v>
      </c>
      <c r="AX296">
        <v>2.3675931789048001</v>
      </c>
      <c r="AY296">
        <v>132155.7084</v>
      </c>
      <c r="AZ296">
        <v>1.03813118064941</v>
      </c>
      <c r="BA296">
        <v>148234.512195121</v>
      </c>
      <c r="BB296">
        <v>1.16443603550091</v>
      </c>
      <c r="BC296">
        <v>23.759536003625801</v>
      </c>
    </row>
    <row r="297" spans="1:55" x14ac:dyDescent="0.2">
      <c r="A297" t="s">
        <v>637</v>
      </c>
      <c r="B297" t="s">
        <v>638</v>
      </c>
      <c r="C297">
        <v>617</v>
      </c>
      <c r="D297">
        <v>75</v>
      </c>
      <c r="E297">
        <v>0</v>
      </c>
      <c r="F297">
        <v>0</v>
      </c>
      <c r="G297">
        <v>0</v>
      </c>
      <c r="H297">
        <v>0</v>
      </c>
      <c r="I297">
        <v>692</v>
      </c>
      <c r="J297">
        <v>15256.27</v>
      </c>
      <c r="K297">
        <v>200335.63</v>
      </c>
      <c r="L297">
        <v>140234.94</v>
      </c>
      <c r="M297">
        <v>33099.269999999997</v>
      </c>
      <c r="N297">
        <v>109542.37</v>
      </c>
      <c r="O297">
        <v>308603.88</v>
      </c>
      <c r="P297">
        <v>48233160</v>
      </c>
      <c r="Q297">
        <v>107139.41</v>
      </c>
      <c r="R297">
        <v>8583.48</v>
      </c>
      <c r="S297">
        <v>43219.61</v>
      </c>
      <c r="T297">
        <v>971700.64</v>
      </c>
      <c r="U297">
        <v>48</v>
      </c>
      <c r="V297">
        <v>0</v>
      </c>
      <c r="W297">
        <v>0</v>
      </c>
      <c r="X297">
        <v>0</v>
      </c>
      <c r="Y297">
        <v>0</v>
      </c>
      <c r="Z297">
        <v>73708.160000000003</v>
      </c>
      <c r="AA297">
        <v>7143.92</v>
      </c>
      <c r="AB297">
        <v>37399.93</v>
      </c>
      <c r="AC297">
        <v>636113.98</v>
      </c>
      <c r="AD297">
        <v>1.22</v>
      </c>
      <c r="AE297">
        <v>0.46</v>
      </c>
      <c r="AF297">
        <v>0.37</v>
      </c>
      <c r="AG297">
        <v>2.95</v>
      </c>
      <c r="AH297">
        <v>49115.37</v>
      </c>
      <c r="AI297">
        <v>4662.99</v>
      </c>
      <c r="AJ297">
        <v>20674.73</v>
      </c>
      <c r="AK297">
        <v>594199.93999999994</v>
      </c>
      <c r="AL297">
        <v>73708.160000000003</v>
      </c>
      <c r="AM297">
        <v>7143.92</v>
      </c>
      <c r="AN297">
        <v>37399.93</v>
      </c>
      <c r="AO297">
        <v>636113.98</v>
      </c>
      <c r="AP297">
        <v>124550.82</v>
      </c>
      <c r="AQ297">
        <v>29875.84</v>
      </c>
      <c r="AR297">
        <v>94687.319999999905</v>
      </c>
      <c r="AS297">
        <v>49990.6</v>
      </c>
      <c r="AT297">
        <v>21.772416</v>
      </c>
      <c r="AU297">
        <v>21.141015935999999</v>
      </c>
      <c r="AV297">
        <v>5339797.80511487</v>
      </c>
      <c r="AW297">
        <v>182582286.1956</v>
      </c>
      <c r="AX297">
        <v>34.192734043358001</v>
      </c>
      <c r="AY297">
        <v>197111.00839999999</v>
      </c>
      <c r="AZ297">
        <v>0.98390390366406599</v>
      </c>
      <c r="BA297">
        <v>252580</v>
      </c>
      <c r="BB297">
        <v>1.26078421496964</v>
      </c>
      <c r="BC297">
        <v>22.0466329479768</v>
      </c>
    </row>
    <row r="298" spans="1:55" x14ac:dyDescent="0.2">
      <c r="A298" t="s">
        <v>639</v>
      </c>
      <c r="B298" t="s">
        <v>640</v>
      </c>
      <c r="C298">
        <v>412</v>
      </c>
      <c r="D298">
        <v>45</v>
      </c>
      <c r="E298">
        <v>45</v>
      </c>
      <c r="F298">
        <v>57</v>
      </c>
      <c r="G298">
        <v>32</v>
      </c>
      <c r="H298">
        <v>40</v>
      </c>
      <c r="I298">
        <v>631</v>
      </c>
      <c r="J298">
        <v>11852.42</v>
      </c>
      <c r="K298">
        <v>151944.68</v>
      </c>
      <c r="L298">
        <v>106361.28</v>
      </c>
      <c r="M298">
        <v>24931.759999999998</v>
      </c>
      <c r="N298">
        <v>75589.440000000002</v>
      </c>
      <c r="O298">
        <v>204897.78</v>
      </c>
      <c r="P298">
        <v>12517500</v>
      </c>
      <c r="Q298">
        <v>33515.18</v>
      </c>
      <c r="R298">
        <v>7379.4</v>
      </c>
      <c r="S298">
        <v>53748.27</v>
      </c>
      <c r="T298">
        <v>313971.45</v>
      </c>
      <c r="U298">
        <v>57</v>
      </c>
      <c r="V298">
        <v>0</v>
      </c>
      <c r="W298">
        <v>0</v>
      </c>
      <c r="X298">
        <v>0</v>
      </c>
      <c r="Y298">
        <v>0</v>
      </c>
      <c r="Z298">
        <v>33515.18</v>
      </c>
      <c r="AA298">
        <v>7379.4</v>
      </c>
      <c r="AB298">
        <v>53748.27</v>
      </c>
      <c r="AC298">
        <v>313971.45</v>
      </c>
      <c r="AD298">
        <v>1.08</v>
      </c>
      <c r="AE298">
        <v>0.89</v>
      </c>
      <c r="AF298">
        <v>1.29</v>
      </c>
      <c r="AG298">
        <v>2.77</v>
      </c>
      <c r="AH298">
        <v>43480.5</v>
      </c>
      <c r="AI298">
        <v>13574.4</v>
      </c>
      <c r="AJ298">
        <v>98838.6</v>
      </c>
      <c r="AK298">
        <v>644784</v>
      </c>
      <c r="AL298">
        <v>33515.18</v>
      </c>
      <c r="AM298">
        <v>7379.4</v>
      </c>
      <c r="AN298">
        <v>53748.27</v>
      </c>
      <c r="AO298">
        <v>313971.45</v>
      </c>
      <c r="AP298">
        <v>62880.78</v>
      </c>
      <c r="AQ298">
        <v>11357.359999999901</v>
      </c>
      <c r="AR298">
        <v>-23249.16</v>
      </c>
      <c r="AS298">
        <v>-439886.22</v>
      </c>
      <c r="AT298">
        <v>25.854744</v>
      </c>
      <c r="AU298">
        <v>25.104956424000001</v>
      </c>
      <c r="AV298">
        <v>4187632.2563053202</v>
      </c>
      <c r="AW298">
        <v>47383869.674999997</v>
      </c>
      <c r="AX298">
        <v>11.315193592669001</v>
      </c>
      <c r="AY298">
        <v>153133.26639999999</v>
      </c>
      <c r="AZ298">
        <v>1.0078224943446501</v>
      </c>
      <c r="BA298">
        <v>183630.60975609699</v>
      </c>
      <c r="BB298">
        <v>1.2085359602988199</v>
      </c>
      <c r="BC298">
        <v>22.764286316578399</v>
      </c>
    </row>
    <row r="299" spans="1:55" x14ac:dyDescent="0.2">
      <c r="A299" t="s">
        <v>641</v>
      </c>
      <c r="B299" t="s">
        <v>642</v>
      </c>
      <c r="C299">
        <v>0</v>
      </c>
      <c r="D299">
        <v>0</v>
      </c>
      <c r="E299">
        <v>522</v>
      </c>
      <c r="F299">
        <v>531</v>
      </c>
      <c r="G299">
        <v>0</v>
      </c>
      <c r="H299">
        <v>0</v>
      </c>
      <c r="I299">
        <v>1053</v>
      </c>
      <c r="J299">
        <v>10600.47</v>
      </c>
      <c r="K299">
        <v>100203.48</v>
      </c>
      <c r="L299">
        <v>70142.44</v>
      </c>
      <c r="M299">
        <v>16957.509999999998</v>
      </c>
      <c r="N299">
        <v>1</v>
      </c>
      <c r="O299">
        <v>0</v>
      </c>
      <c r="P299">
        <v>3258500</v>
      </c>
      <c r="Q299">
        <v>13623.28</v>
      </c>
      <c r="R299">
        <v>1568.99</v>
      </c>
      <c r="S299">
        <v>20176.599999999999</v>
      </c>
      <c r="T299">
        <v>45139.02</v>
      </c>
      <c r="U299">
        <v>1</v>
      </c>
      <c r="V299">
        <v>17132.150000000001</v>
      </c>
      <c r="W299">
        <v>7476.81</v>
      </c>
      <c r="X299">
        <v>30351.4</v>
      </c>
      <c r="Y299">
        <v>729702.6</v>
      </c>
      <c r="Z299">
        <v>0</v>
      </c>
      <c r="AA299">
        <v>0</v>
      </c>
      <c r="AB299">
        <v>0</v>
      </c>
      <c r="AC299">
        <v>0</v>
      </c>
      <c r="AD299">
        <v>1.71</v>
      </c>
      <c r="AE299">
        <v>1.18</v>
      </c>
      <c r="AF299">
        <v>0.75</v>
      </c>
      <c r="AG299">
        <v>0</v>
      </c>
      <c r="AH299">
        <v>13623.28</v>
      </c>
      <c r="AI299">
        <v>1568.99</v>
      </c>
      <c r="AJ299">
        <v>20176.599999999999</v>
      </c>
      <c r="AK299">
        <v>45139.02</v>
      </c>
      <c r="AL299">
        <v>17132.150000000001</v>
      </c>
      <c r="AM299">
        <v>7476.81</v>
      </c>
      <c r="AN299">
        <v>30351.4</v>
      </c>
      <c r="AO299">
        <v>729702.6</v>
      </c>
      <c r="AP299">
        <v>53010.29</v>
      </c>
      <c r="AQ299">
        <v>9480.6999999999898</v>
      </c>
      <c r="AR299">
        <v>-30350.400000000001</v>
      </c>
      <c r="AS299">
        <v>-729702.6</v>
      </c>
      <c r="AT299">
        <v>0.453592</v>
      </c>
      <c r="AU299">
        <v>0.44043783199999997</v>
      </c>
      <c r="AV299">
        <v>0</v>
      </c>
      <c r="AW299">
        <v>12334758.484999999</v>
      </c>
      <c r="AY299">
        <v>136958.0724</v>
      </c>
      <c r="AZ299">
        <v>1.36679956025479</v>
      </c>
      <c r="BA299">
        <v>140614.02439024299</v>
      </c>
      <c r="BB299">
        <v>1.40328483991019</v>
      </c>
      <c r="BC299">
        <v>27.5162564102564</v>
      </c>
    </row>
    <row r="300" spans="1:55" x14ac:dyDescent="0.2">
      <c r="A300" t="s">
        <v>643</v>
      </c>
      <c r="B300" t="s">
        <v>644</v>
      </c>
      <c r="C300">
        <v>0</v>
      </c>
      <c r="D300">
        <v>0</v>
      </c>
      <c r="E300">
        <v>0</v>
      </c>
      <c r="F300">
        <v>315</v>
      </c>
      <c r="G300">
        <v>0</v>
      </c>
      <c r="H300">
        <v>0</v>
      </c>
      <c r="I300">
        <v>315</v>
      </c>
      <c r="J300">
        <v>2990.61</v>
      </c>
      <c r="K300">
        <v>29975.4</v>
      </c>
      <c r="L300">
        <v>20982.78</v>
      </c>
      <c r="M300">
        <v>5072.76</v>
      </c>
      <c r="N300">
        <v>1</v>
      </c>
      <c r="O300">
        <v>0</v>
      </c>
      <c r="P300">
        <v>1485000</v>
      </c>
      <c r="Q300">
        <v>2738.7</v>
      </c>
      <c r="R300">
        <v>431.25</v>
      </c>
      <c r="S300">
        <v>9380.99</v>
      </c>
      <c r="T300">
        <v>44364.52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2738.7</v>
      </c>
      <c r="AA300">
        <v>431.25</v>
      </c>
      <c r="AB300">
        <v>9380.99</v>
      </c>
      <c r="AC300">
        <v>44364.52</v>
      </c>
      <c r="AD300">
        <v>0</v>
      </c>
      <c r="AE300">
        <v>0</v>
      </c>
      <c r="AF300">
        <v>0</v>
      </c>
      <c r="AG300">
        <v>0</v>
      </c>
      <c r="AH300">
        <v>16221.15</v>
      </c>
      <c r="AI300">
        <v>4392.63</v>
      </c>
      <c r="AJ300">
        <v>27561.599999999999</v>
      </c>
      <c r="AK300">
        <v>1045044</v>
      </c>
      <c r="AL300">
        <v>2738.7</v>
      </c>
      <c r="AM300">
        <v>431.25</v>
      </c>
      <c r="AN300">
        <v>9380.99</v>
      </c>
      <c r="AO300">
        <v>44364.52</v>
      </c>
      <c r="AP300">
        <v>4761.6299999999901</v>
      </c>
      <c r="AQ300">
        <v>680.13</v>
      </c>
      <c r="AR300">
        <v>-27560.6</v>
      </c>
      <c r="AS300">
        <v>-1045044</v>
      </c>
      <c r="AT300">
        <v>0.453592</v>
      </c>
      <c r="AU300">
        <v>0.44043783199999997</v>
      </c>
      <c r="AV300">
        <v>0</v>
      </c>
      <c r="AW300">
        <v>5621333.8499999996</v>
      </c>
      <c r="AY300">
        <v>38638.681199999999</v>
      </c>
      <c r="AZ300">
        <v>1.2890130306851599</v>
      </c>
      <c r="BA300">
        <v>42064.024390243903</v>
      </c>
      <c r="BB300">
        <v>1.40328483991019</v>
      </c>
      <c r="BC300">
        <v>25.9502666666666</v>
      </c>
    </row>
    <row r="301" spans="1:55" x14ac:dyDescent="0.2">
      <c r="A301" t="s">
        <v>645</v>
      </c>
      <c r="B301" t="s">
        <v>646</v>
      </c>
      <c r="C301">
        <v>458</v>
      </c>
      <c r="D301">
        <v>68</v>
      </c>
      <c r="E301">
        <v>34</v>
      </c>
      <c r="F301">
        <v>183</v>
      </c>
      <c r="G301">
        <v>65</v>
      </c>
      <c r="H301">
        <v>0</v>
      </c>
      <c r="I301">
        <v>808</v>
      </c>
      <c r="J301">
        <v>13781.09</v>
      </c>
      <c r="K301">
        <v>174945.66</v>
      </c>
      <c r="L301">
        <v>122461.96</v>
      </c>
      <c r="M301">
        <v>28597.51</v>
      </c>
      <c r="N301">
        <v>81313.460000000006</v>
      </c>
      <c r="O301">
        <v>231919.56</v>
      </c>
      <c r="P301">
        <v>4410000</v>
      </c>
      <c r="Q301">
        <v>20021.82</v>
      </c>
      <c r="R301">
        <v>5237.4799999999996</v>
      </c>
      <c r="S301">
        <v>8475.75</v>
      </c>
      <c r="T301">
        <v>248665.14</v>
      </c>
      <c r="U301">
        <v>48</v>
      </c>
      <c r="V301">
        <v>5771.16</v>
      </c>
      <c r="W301">
        <v>1923.72</v>
      </c>
      <c r="X301">
        <v>6604.77</v>
      </c>
      <c r="Y301">
        <v>0</v>
      </c>
      <c r="Z301">
        <v>20021.82</v>
      </c>
      <c r="AA301">
        <v>5237.4799999999996</v>
      </c>
      <c r="AB301">
        <v>8475.75</v>
      </c>
      <c r="AC301">
        <v>248665.14</v>
      </c>
      <c r="AD301">
        <v>1.1599999999999999</v>
      </c>
      <c r="AE301">
        <v>1.67</v>
      </c>
      <c r="AF301">
        <v>0.32</v>
      </c>
      <c r="AG301">
        <v>1.79</v>
      </c>
      <c r="AH301">
        <v>92442.6</v>
      </c>
      <c r="AI301">
        <v>27894.959999999999</v>
      </c>
      <c r="AJ301">
        <v>85955.4</v>
      </c>
      <c r="AK301">
        <v>849823.2</v>
      </c>
      <c r="AL301">
        <v>25792.98</v>
      </c>
      <c r="AM301">
        <v>7161.2</v>
      </c>
      <c r="AN301">
        <v>15080.52</v>
      </c>
      <c r="AO301">
        <v>248665.14</v>
      </c>
      <c r="AP301">
        <v>24248.199999999899</v>
      </c>
      <c r="AQ301">
        <v>-1221.17</v>
      </c>
      <c r="AR301">
        <v>-11246.709999999901</v>
      </c>
      <c r="AS301">
        <v>-617903.63999999897</v>
      </c>
      <c r="AT301">
        <v>21.772416</v>
      </c>
      <c r="AU301">
        <v>21.141015935999999</v>
      </c>
      <c r="AV301">
        <v>4058863.6495526298</v>
      </c>
      <c r="AW301">
        <v>16693658.1</v>
      </c>
      <c r="AX301">
        <v>4.1128896019554499</v>
      </c>
      <c r="AY301">
        <v>178051.68280000001</v>
      </c>
      <c r="AZ301">
        <v>1.0177542146515599</v>
      </c>
      <c r="BA301">
        <v>223860.731707317</v>
      </c>
      <c r="BB301">
        <v>1.27960151573532</v>
      </c>
      <c r="BC301">
        <v>21.903577686462999</v>
      </c>
    </row>
    <row r="302" spans="1:55" x14ac:dyDescent="0.2">
      <c r="A302" t="s">
        <v>647</v>
      </c>
      <c r="B302" t="s">
        <v>648</v>
      </c>
      <c r="C302">
        <v>875</v>
      </c>
      <c r="D302">
        <v>150</v>
      </c>
      <c r="E302">
        <v>200</v>
      </c>
      <c r="F302">
        <v>0</v>
      </c>
      <c r="G302">
        <v>0</v>
      </c>
      <c r="H302">
        <v>0</v>
      </c>
      <c r="I302">
        <v>1225</v>
      </c>
      <c r="J302">
        <v>25358.31</v>
      </c>
      <c r="K302">
        <v>327280.27</v>
      </c>
      <c r="L302">
        <v>229096.19</v>
      </c>
      <c r="M302">
        <v>54185.38</v>
      </c>
      <c r="N302">
        <v>162265.17000000001</v>
      </c>
      <c r="O302">
        <v>447709.5</v>
      </c>
      <c r="P302">
        <v>16890000</v>
      </c>
      <c r="Q302">
        <v>73948.13</v>
      </c>
      <c r="R302">
        <v>14482.77</v>
      </c>
      <c r="S302">
        <v>131113.54999999999</v>
      </c>
      <c r="T302">
        <v>832218.48</v>
      </c>
      <c r="U302">
        <v>60</v>
      </c>
      <c r="V302">
        <v>7688.52</v>
      </c>
      <c r="W302">
        <v>1956.3</v>
      </c>
      <c r="X302">
        <v>5040.25</v>
      </c>
      <c r="Y302">
        <v>50402.52</v>
      </c>
      <c r="Z302">
        <v>73948.13</v>
      </c>
      <c r="AA302">
        <v>14482.77</v>
      </c>
      <c r="AB302">
        <v>131113.54999999999</v>
      </c>
      <c r="AC302">
        <v>832218.48</v>
      </c>
      <c r="AD302">
        <v>0.93</v>
      </c>
      <c r="AE302">
        <v>1.23</v>
      </c>
      <c r="AF302">
        <v>0.86</v>
      </c>
      <c r="AG302">
        <v>3.92</v>
      </c>
      <c r="AH302">
        <v>0</v>
      </c>
      <c r="AI302">
        <v>0</v>
      </c>
      <c r="AJ302">
        <v>0</v>
      </c>
      <c r="AK302">
        <v>0</v>
      </c>
      <c r="AL302">
        <v>81636.649999999994</v>
      </c>
      <c r="AM302">
        <v>16439.07</v>
      </c>
      <c r="AN302">
        <v>136153.79999999999</v>
      </c>
      <c r="AO302">
        <v>882621</v>
      </c>
      <c r="AP302">
        <v>221407.66999999899</v>
      </c>
      <c r="AQ302">
        <v>52229.0799999999</v>
      </c>
      <c r="AR302">
        <v>157224.91999999899</v>
      </c>
      <c r="AS302">
        <v>397306.98</v>
      </c>
      <c r="AT302">
        <v>27.215519999999898</v>
      </c>
      <c r="AU302">
        <v>26.4262699199999</v>
      </c>
      <c r="AV302">
        <v>9886728.2338199895</v>
      </c>
      <c r="AW302">
        <v>63935574.899999999</v>
      </c>
      <c r="AX302">
        <v>6.4668081682767902</v>
      </c>
      <c r="AY302">
        <v>327629.3652</v>
      </c>
      <c r="AZ302">
        <v>1.0010666551943299</v>
      </c>
      <c r="BA302">
        <v>400832.31707316998</v>
      </c>
      <c r="BB302">
        <v>1.22473718648903</v>
      </c>
      <c r="BC302">
        <v>23.091409439200401</v>
      </c>
    </row>
    <row r="303" spans="1:55" x14ac:dyDescent="0.2">
      <c r="A303" t="s">
        <v>649</v>
      </c>
      <c r="B303" t="s">
        <v>650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0.7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15364.55</v>
      </c>
      <c r="W303">
        <v>1572.19</v>
      </c>
      <c r="X303">
        <v>11219.69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0.57999999999999996</v>
      </c>
      <c r="AE303">
        <v>0.15</v>
      </c>
      <c r="AF303">
        <v>0.14000000000000001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15364.55</v>
      </c>
      <c r="AM303">
        <v>1572.19</v>
      </c>
      <c r="AN303">
        <v>11219.69</v>
      </c>
      <c r="AO303">
        <v>0</v>
      </c>
      <c r="AP303">
        <v>-15363.8499999999</v>
      </c>
      <c r="AQ303">
        <v>-1571.19</v>
      </c>
      <c r="AR303">
        <v>-11218.69</v>
      </c>
      <c r="AS303">
        <v>0</v>
      </c>
      <c r="AT303">
        <v>0.453592</v>
      </c>
      <c r="AU303">
        <v>0.44043783199999997</v>
      </c>
      <c r="AV303">
        <v>0</v>
      </c>
      <c r="AW303">
        <v>0</v>
      </c>
    </row>
    <row r="304" spans="1:55" x14ac:dyDescent="0.2">
      <c r="A304" t="s">
        <v>651</v>
      </c>
      <c r="B304" t="s">
        <v>652</v>
      </c>
      <c r="C304">
        <v>0</v>
      </c>
      <c r="D304">
        <v>193</v>
      </c>
      <c r="E304">
        <v>211</v>
      </c>
      <c r="F304">
        <v>593</v>
      </c>
      <c r="G304">
        <v>407</v>
      </c>
      <c r="H304">
        <v>0</v>
      </c>
      <c r="I304">
        <v>1404</v>
      </c>
      <c r="J304">
        <v>11711.19</v>
      </c>
      <c r="K304">
        <v>132682.32</v>
      </c>
      <c r="L304">
        <v>92877.62</v>
      </c>
      <c r="M304">
        <v>19084.45</v>
      </c>
      <c r="N304">
        <v>1</v>
      </c>
      <c r="O304">
        <v>44501.94</v>
      </c>
      <c r="P304">
        <v>8154000</v>
      </c>
      <c r="Q304">
        <v>15965.58</v>
      </c>
      <c r="R304">
        <v>2038.36</v>
      </c>
      <c r="S304">
        <v>23355.4</v>
      </c>
      <c r="T304">
        <v>247446.94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15965.58</v>
      </c>
      <c r="AA304">
        <v>2038.36</v>
      </c>
      <c r="AB304">
        <v>23355.4</v>
      </c>
      <c r="AC304">
        <v>247446.94</v>
      </c>
      <c r="AD304">
        <v>1.32</v>
      </c>
      <c r="AE304">
        <v>0.99</v>
      </c>
      <c r="AF304">
        <v>1.32</v>
      </c>
      <c r="AG304">
        <v>4.71</v>
      </c>
      <c r="AH304">
        <v>42164.46</v>
      </c>
      <c r="AI304">
        <v>5697.9</v>
      </c>
      <c r="AJ304">
        <v>27729.78</v>
      </c>
      <c r="AK304">
        <v>377960.7</v>
      </c>
      <c r="AL304">
        <v>15965.58</v>
      </c>
      <c r="AM304">
        <v>2038.36</v>
      </c>
      <c r="AN304">
        <v>23355.4</v>
      </c>
      <c r="AO304">
        <v>247446.94</v>
      </c>
      <c r="AP304">
        <v>50713.159999999902</v>
      </c>
      <c r="AQ304">
        <v>13386.55</v>
      </c>
      <c r="AR304">
        <v>-27728.78</v>
      </c>
      <c r="AS304">
        <v>-333458.76</v>
      </c>
      <c r="AT304">
        <v>0.453592</v>
      </c>
      <c r="AU304">
        <v>0.44043783199999997</v>
      </c>
      <c r="AV304">
        <v>31026.643075239899</v>
      </c>
      <c r="AW304">
        <v>30866233.140000001</v>
      </c>
      <c r="AX304">
        <v>994.82992939806604</v>
      </c>
      <c r="AY304">
        <v>151308.5748</v>
      </c>
      <c r="AZ304">
        <v>1.1403823418221799</v>
      </c>
      <c r="BA304">
        <v>195924.87804878</v>
      </c>
      <c r="BB304">
        <v>1.4766464593683599</v>
      </c>
      <c r="BC304">
        <v>18.412408543599899</v>
      </c>
    </row>
    <row r="305" spans="1:55" x14ac:dyDescent="0.2">
      <c r="A305" t="s">
        <v>314</v>
      </c>
      <c r="C305">
        <v>518</v>
      </c>
      <c r="D305">
        <v>0</v>
      </c>
      <c r="E305">
        <v>150</v>
      </c>
      <c r="F305">
        <v>0</v>
      </c>
      <c r="G305">
        <v>0</v>
      </c>
      <c r="H305">
        <v>0</v>
      </c>
      <c r="I305">
        <v>668</v>
      </c>
      <c r="J305">
        <v>14650.45</v>
      </c>
      <c r="K305">
        <v>186085.77</v>
      </c>
      <c r="L305">
        <v>130260.04</v>
      </c>
      <c r="M305">
        <v>31467.439999999999</v>
      </c>
      <c r="N305">
        <v>98449.79</v>
      </c>
      <c r="O305">
        <v>244568.52</v>
      </c>
      <c r="P305">
        <v>25758000</v>
      </c>
      <c r="Q305">
        <v>58819.11</v>
      </c>
      <c r="R305">
        <v>15884.32</v>
      </c>
      <c r="S305">
        <v>79269.119999999995</v>
      </c>
      <c r="T305">
        <v>501862.12</v>
      </c>
      <c r="U305">
        <v>67</v>
      </c>
      <c r="V305">
        <v>31145.22</v>
      </c>
      <c r="W305">
        <v>10006.39</v>
      </c>
      <c r="X305">
        <v>40952.07</v>
      </c>
      <c r="Y305">
        <v>859840.8</v>
      </c>
      <c r="Z305">
        <v>58819.11</v>
      </c>
      <c r="AA305">
        <v>15884.32</v>
      </c>
      <c r="AB305">
        <v>79269.119999999995</v>
      </c>
      <c r="AC305">
        <v>501862.12</v>
      </c>
      <c r="AD305">
        <v>1.19</v>
      </c>
      <c r="AE305">
        <v>1.7</v>
      </c>
      <c r="AF305">
        <v>1.36</v>
      </c>
      <c r="AG305">
        <v>3.08</v>
      </c>
      <c r="AH305">
        <v>215176.61</v>
      </c>
      <c r="AI305">
        <v>70372.22</v>
      </c>
      <c r="AJ305">
        <v>308555.14</v>
      </c>
      <c r="AK305">
        <v>8810061.1199999992</v>
      </c>
      <c r="AL305">
        <v>89964.33</v>
      </c>
      <c r="AM305">
        <v>25890.71</v>
      </c>
      <c r="AN305">
        <v>120221.19</v>
      </c>
      <c r="AO305">
        <v>1361702.92</v>
      </c>
      <c r="AP305">
        <v>-116061.79</v>
      </c>
      <c r="AQ305">
        <v>-48911.17</v>
      </c>
      <c r="AR305">
        <v>-251057.42</v>
      </c>
      <c r="AS305">
        <v>-9425333.3999999892</v>
      </c>
      <c r="AT305">
        <v>30.390664000000001</v>
      </c>
      <c r="AU305">
        <v>29.509334744</v>
      </c>
      <c r="AV305">
        <v>5579329.9200480804</v>
      </c>
      <c r="AW305">
        <v>97504590.780000001</v>
      </c>
      <c r="AX305">
        <v>17.476039627919999</v>
      </c>
      <c r="AY305">
        <v>189283.81400000001</v>
      </c>
      <c r="AZ305">
        <v>1.0171858600472199</v>
      </c>
      <c r="BA305">
        <v>209100.48780487801</v>
      </c>
      <c r="BB305">
        <v>1.12367801044044</v>
      </c>
      <c r="BC305">
        <v>25.5734183412806</v>
      </c>
    </row>
    <row r="306" spans="1:55" x14ac:dyDescent="0.2">
      <c r="A306" t="s">
        <v>653</v>
      </c>
      <c r="B306" t="s">
        <v>654</v>
      </c>
      <c r="C306">
        <v>1086</v>
      </c>
      <c r="D306">
        <v>76</v>
      </c>
      <c r="E306">
        <v>316</v>
      </c>
      <c r="F306">
        <v>0</v>
      </c>
      <c r="G306">
        <v>365</v>
      </c>
      <c r="H306">
        <v>100</v>
      </c>
      <c r="I306">
        <v>1943</v>
      </c>
      <c r="J306">
        <v>32828.410000000003</v>
      </c>
      <c r="K306">
        <v>419657.91</v>
      </c>
      <c r="L306">
        <v>293760.53999999998</v>
      </c>
      <c r="M306">
        <v>67981.27</v>
      </c>
      <c r="N306">
        <v>202825.17</v>
      </c>
      <c r="O306">
        <v>530268.12</v>
      </c>
      <c r="P306">
        <v>34106700</v>
      </c>
      <c r="Q306">
        <v>105794.78</v>
      </c>
      <c r="R306">
        <v>21169.200000000001</v>
      </c>
      <c r="S306">
        <v>92155.83</v>
      </c>
      <c r="T306">
        <v>1004360.12</v>
      </c>
      <c r="U306">
        <v>62</v>
      </c>
      <c r="V306">
        <v>0</v>
      </c>
      <c r="W306">
        <v>0</v>
      </c>
      <c r="X306">
        <v>0</v>
      </c>
      <c r="Y306">
        <v>0</v>
      </c>
      <c r="Z306">
        <v>105794.78</v>
      </c>
      <c r="AA306">
        <v>21169.200000000001</v>
      </c>
      <c r="AB306">
        <v>92155.83</v>
      </c>
      <c r="AC306">
        <v>1004360.12</v>
      </c>
      <c r="AD306">
        <v>1.2</v>
      </c>
      <c r="AE306">
        <v>1.08</v>
      </c>
      <c r="AF306">
        <v>0.9</v>
      </c>
      <c r="AG306">
        <v>8.85</v>
      </c>
      <c r="AH306">
        <v>99627.839999999997</v>
      </c>
      <c r="AI306">
        <v>34628.480000000003</v>
      </c>
      <c r="AJ306">
        <v>76636.800000000003</v>
      </c>
      <c r="AK306">
        <v>0</v>
      </c>
      <c r="AL306">
        <v>105794.78</v>
      </c>
      <c r="AM306">
        <v>21169.200000000001</v>
      </c>
      <c r="AN306">
        <v>92155.83</v>
      </c>
      <c r="AO306">
        <v>1004360.12</v>
      </c>
      <c r="AP306">
        <v>194132.69999999899</v>
      </c>
      <c r="AQ306">
        <v>33352.79</v>
      </c>
      <c r="AR306">
        <v>126188.36999999901</v>
      </c>
      <c r="AS306">
        <v>530268.12</v>
      </c>
      <c r="AT306">
        <v>28.122703999999999</v>
      </c>
      <c r="AU306">
        <v>27.307145583999901</v>
      </c>
      <c r="AV306">
        <v>11581779.656541901</v>
      </c>
      <c r="AW306">
        <v>129107843.24699999</v>
      </c>
      <c r="AX306">
        <v>11.1474960736344</v>
      </c>
      <c r="AY306">
        <v>424143.05719999998</v>
      </c>
      <c r="AZ306">
        <v>1.01068762697693</v>
      </c>
      <c r="BA306">
        <v>487025.731707317</v>
      </c>
      <c r="BB306">
        <v>1.16053032744531</v>
      </c>
      <c r="BC306">
        <v>22.675755344778199</v>
      </c>
    </row>
    <row r="307" spans="1:55" x14ac:dyDescent="0.2">
      <c r="A307" t="s">
        <v>655</v>
      </c>
      <c r="B307" t="s">
        <v>656</v>
      </c>
      <c r="C307">
        <v>789</v>
      </c>
      <c r="D307">
        <v>180</v>
      </c>
      <c r="E307">
        <v>218</v>
      </c>
      <c r="F307">
        <v>212</v>
      </c>
      <c r="G307">
        <v>107</v>
      </c>
      <c r="H307">
        <v>96</v>
      </c>
      <c r="I307">
        <v>1602</v>
      </c>
      <c r="J307">
        <v>28228.82</v>
      </c>
      <c r="K307">
        <v>352028.4</v>
      </c>
      <c r="L307">
        <v>246419.88</v>
      </c>
      <c r="M307">
        <v>57375.24</v>
      </c>
      <c r="N307">
        <v>152554.34</v>
      </c>
      <c r="O307">
        <v>414022.86</v>
      </c>
      <c r="P307">
        <v>12882000</v>
      </c>
      <c r="Q307">
        <v>71738.06</v>
      </c>
      <c r="R307">
        <v>5402.43</v>
      </c>
      <c r="S307">
        <v>87872.4</v>
      </c>
      <c r="T307">
        <v>601070.31999999995</v>
      </c>
      <c r="U307">
        <v>72</v>
      </c>
      <c r="V307">
        <v>108380.42</v>
      </c>
      <c r="W307">
        <v>26752.13</v>
      </c>
      <c r="X307">
        <v>172173.95</v>
      </c>
      <c r="Y307">
        <v>0</v>
      </c>
      <c r="Z307">
        <v>71738.06</v>
      </c>
      <c r="AA307">
        <v>5402.43</v>
      </c>
      <c r="AB307">
        <v>87872.4</v>
      </c>
      <c r="AC307">
        <v>601070.31999999995</v>
      </c>
      <c r="AD307">
        <v>1.24</v>
      </c>
      <c r="AE307">
        <v>1.0900000000000001</v>
      </c>
      <c r="AF307">
        <v>1.42</v>
      </c>
      <c r="AG307">
        <v>2.2599999999999998</v>
      </c>
      <c r="AH307">
        <v>0</v>
      </c>
      <c r="AI307">
        <v>0</v>
      </c>
      <c r="AJ307">
        <v>0</v>
      </c>
      <c r="AK307">
        <v>0</v>
      </c>
      <c r="AL307">
        <v>180118.47999999899</v>
      </c>
      <c r="AM307">
        <v>32154.560000000001</v>
      </c>
      <c r="AN307">
        <v>260046.35</v>
      </c>
      <c r="AO307">
        <v>601070.31999999995</v>
      </c>
      <c r="AP307">
        <v>138039.46</v>
      </c>
      <c r="AQ307">
        <v>30623.109999999899</v>
      </c>
      <c r="AR307">
        <v>-19619.61</v>
      </c>
      <c r="AS307">
        <v>414022.86</v>
      </c>
      <c r="AT307">
        <v>32.658624000000003</v>
      </c>
      <c r="AU307">
        <v>31.711523904</v>
      </c>
      <c r="AV307">
        <v>11215890.3319862</v>
      </c>
      <c r="AW307">
        <v>48763651.619999997</v>
      </c>
      <c r="AX307">
        <v>4.3477289966836103</v>
      </c>
      <c r="AY307">
        <v>364716.35440000001</v>
      </c>
      <c r="AZ307">
        <v>1.03604241703226</v>
      </c>
      <c r="BA307">
        <v>420141.70731707301</v>
      </c>
      <c r="BB307">
        <v>1.1934881029970099</v>
      </c>
      <c r="BC307">
        <v>23.512547131480499</v>
      </c>
    </row>
    <row r="308" spans="1:55" x14ac:dyDescent="0.2">
      <c r="A308" t="s">
        <v>657</v>
      </c>
      <c r="B308" t="s">
        <v>658</v>
      </c>
      <c r="C308">
        <v>2050</v>
      </c>
      <c r="D308">
        <v>400</v>
      </c>
      <c r="E308">
        <v>825</v>
      </c>
      <c r="F308">
        <v>825</v>
      </c>
      <c r="G308">
        <v>250</v>
      </c>
      <c r="H308">
        <v>0</v>
      </c>
      <c r="I308">
        <v>4350</v>
      </c>
      <c r="J308">
        <v>77097.73</v>
      </c>
      <c r="K308">
        <v>948208.15</v>
      </c>
      <c r="L308">
        <v>663745.71</v>
      </c>
      <c r="M308">
        <v>156753.21</v>
      </c>
      <c r="N308">
        <v>400422.21</v>
      </c>
      <c r="O308">
        <v>1060119</v>
      </c>
      <c r="P308">
        <v>149599000</v>
      </c>
      <c r="Q308">
        <v>327983.59999999998</v>
      </c>
      <c r="R308">
        <v>35417.870000000003</v>
      </c>
      <c r="S308">
        <v>456047.23</v>
      </c>
      <c r="T308">
        <v>5150999.9800000004</v>
      </c>
      <c r="U308">
        <v>75</v>
      </c>
      <c r="V308">
        <v>71249.509999999995</v>
      </c>
      <c r="W308">
        <v>20961.939999999999</v>
      </c>
      <c r="X308">
        <v>28122.66</v>
      </c>
      <c r="Y308">
        <v>396120.82</v>
      </c>
      <c r="Z308">
        <v>327983.59999999998</v>
      </c>
      <c r="AA308">
        <v>35417.870000000003</v>
      </c>
      <c r="AB308">
        <v>456047.23</v>
      </c>
      <c r="AC308">
        <v>5150999.9800000004</v>
      </c>
      <c r="AD308">
        <v>1.02</v>
      </c>
      <c r="AE308">
        <v>0.98</v>
      </c>
      <c r="AF308">
        <v>1.1399999999999999</v>
      </c>
      <c r="AG308">
        <v>4.32</v>
      </c>
      <c r="AH308">
        <v>134986.43</v>
      </c>
      <c r="AI308">
        <v>32401.02</v>
      </c>
      <c r="AJ308">
        <v>116406.5</v>
      </c>
      <c r="AK308">
        <v>3307631.24</v>
      </c>
      <c r="AL308">
        <v>399233.11</v>
      </c>
      <c r="AM308">
        <v>56379.81</v>
      </c>
      <c r="AN308">
        <v>484169.88999999902</v>
      </c>
      <c r="AO308">
        <v>5547120.7999999998</v>
      </c>
      <c r="AP308">
        <v>457509.76999999897</v>
      </c>
      <c r="AQ308">
        <v>103390.249999999</v>
      </c>
      <c r="AR308">
        <v>255893.05</v>
      </c>
      <c r="AS308">
        <v>-2643633.06</v>
      </c>
      <c r="AT308">
        <v>34.019399999999997</v>
      </c>
      <c r="AU308">
        <v>33.032837399999998</v>
      </c>
      <c r="AV308">
        <v>29539614.844949901</v>
      </c>
      <c r="AW308">
        <v>566293550.59000003</v>
      </c>
      <c r="AX308">
        <v>19.1706477407511</v>
      </c>
      <c r="AY308">
        <v>996102.67159999895</v>
      </c>
      <c r="AZ308">
        <v>1.05051055678017</v>
      </c>
      <c r="BA308">
        <v>1125713.41463414</v>
      </c>
      <c r="BB308">
        <v>1.1872007371315501</v>
      </c>
      <c r="BC308">
        <v>24.513431019775101</v>
      </c>
    </row>
    <row r="309" spans="1:55" x14ac:dyDescent="0.2">
      <c r="A309" t="s">
        <v>659</v>
      </c>
      <c r="B309" t="s">
        <v>660</v>
      </c>
      <c r="C309">
        <v>1050</v>
      </c>
      <c r="D309">
        <v>140</v>
      </c>
      <c r="E309">
        <v>300</v>
      </c>
      <c r="F309">
        <v>650</v>
      </c>
      <c r="G309">
        <v>240</v>
      </c>
      <c r="H309">
        <v>0</v>
      </c>
      <c r="I309">
        <v>2380</v>
      </c>
      <c r="J309">
        <v>38896.25</v>
      </c>
      <c r="K309">
        <v>481433.5</v>
      </c>
      <c r="L309">
        <v>337003.45</v>
      </c>
      <c r="M309">
        <v>79330.320000000007</v>
      </c>
      <c r="N309">
        <v>201635.61</v>
      </c>
      <c r="O309">
        <v>528028.19999999995</v>
      </c>
      <c r="P309">
        <v>27856950</v>
      </c>
      <c r="Q309">
        <v>116935.5</v>
      </c>
      <c r="R309">
        <v>13825.54</v>
      </c>
      <c r="S309">
        <v>188303.44</v>
      </c>
      <c r="T309">
        <v>1457704.5</v>
      </c>
      <c r="U309">
        <v>70</v>
      </c>
      <c r="V309">
        <v>46960.46</v>
      </c>
      <c r="W309">
        <v>4718.5200000000004</v>
      </c>
      <c r="X309">
        <v>12358.02</v>
      </c>
      <c r="Y309">
        <v>163799.88</v>
      </c>
      <c r="Z309">
        <v>78326.100000000006</v>
      </c>
      <c r="AA309">
        <v>7650.67</v>
      </c>
      <c r="AB309">
        <v>99932.59</v>
      </c>
      <c r="AC309">
        <v>1003165.47</v>
      </c>
      <c r="AD309">
        <v>1.37</v>
      </c>
      <c r="AE309">
        <v>0.83</v>
      </c>
      <c r="AF309">
        <v>0.82</v>
      </c>
      <c r="AG309">
        <v>2.89</v>
      </c>
      <c r="AH309">
        <v>42946.23</v>
      </c>
      <c r="AI309">
        <v>6610.63</v>
      </c>
      <c r="AJ309">
        <v>89512.13</v>
      </c>
      <c r="AK309">
        <v>469666.07</v>
      </c>
      <c r="AL309">
        <v>125286.56</v>
      </c>
      <c r="AM309">
        <v>12369.19</v>
      </c>
      <c r="AN309">
        <v>112290.61</v>
      </c>
      <c r="AO309">
        <v>1166965.3500000001</v>
      </c>
      <c r="AP309">
        <v>285706.15999999997</v>
      </c>
      <c r="AQ309">
        <v>74176.039999999994</v>
      </c>
      <c r="AR309">
        <v>188136.31</v>
      </c>
      <c r="AS309">
        <v>349101.27999999898</v>
      </c>
      <c r="AT309">
        <v>31.751439999999999</v>
      </c>
      <c r="AU309">
        <v>30.830648239999999</v>
      </c>
      <c r="AV309">
        <v>13391292.063044</v>
      </c>
      <c r="AW309">
        <v>105449977.0995</v>
      </c>
      <c r="AX309">
        <v>7.8745185007584597</v>
      </c>
      <c r="AY309">
        <v>502539.55</v>
      </c>
      <c r="AZ309">
        <v>1.0438400111334101</v>
      </c>
      <c r="BA309">
        <v>571892.68292682897</v>
      </c>
      <c r="BB309">
        <v>1.1878954890484901</v>
      </c>
      <c r="BC309">
        <v>23.930766056422499</v>
      </c>
    </row>
    <row r="310" spans="1:55" x14ac:dyDescent="0.2">
      <c r="A310" t="s">
        <v>661</v>
      </c>
      <c r="B310" t="s">
        <v>662</v>
      </c>
      <c r="C310">
        <v>2100</v>
      </c>
      <c r="D310">
        <v>300</v>
      </c>
      <c r="E310">
        <v>1000</v>
      </c>
      <c r="F310">
        <v>900</v>
      </c>
      <c r="G310">
        <v>600</v>
      </c>
      <c r="H310">
        <v>0</v>
      </c>
      <c r="I310">
        <v>4900</v>
      </c>
      <c r="J310">
        <v>80602.399999999994</v>
      </c>
      <c r="K310">
        <v>988831.77</v>
      </c>
      <c r="L310">
        <v>692182.24</v>
      </c>
      <c r="M310">
        <v>162549.20000000001</v>
      </c>
      <c r="N310">
        <v>410188.61</v>
      </c>
      <c r="O310">
        <v>1060668</v>
      </c>
      <c r="P310">
        <v>41348620</v>
      </c>
      <c r="Q310">
        <v>173253.44</v>
      </c>
      <c r="R310">
        <v>25846.23</v>
      </c>
      <c r="S310">
        <v>308567.59000000003</v>
      </c>
      <c r="T310">
        <v>1555674.61</v>
      </c>
      <c r="U310">
        <v>75</v>
      </c>
      <c r="V310">
        <v>133219.79999999999</v>
      </c>
      <c r="W310">
        <v>47198.38</v>
      </c>
      <c r="X310">
        <v>240188.16</v>
      </c>
      <c r="Y310">
        <v>6493746.4100000001</v>
      </c>
      <c r="Z310">
        <v>173253.44</v>
      </c>
      <c r="AA310">
        <v>25846.23</v>
      </c>
      <c r="AB310">
        <v>308567.59000000003</v>
      </c>
      <c r="AC310">
        <v>1555674.61</v>
      </c>
      <c r="AD310">
        <v>1.1499999999999999</v>
      </c>
      <c r="AE310">
        <v>1.36</v>
      </c>
      <c r="AF310">
        <v>1.42</v>
      </c>
      <c r="AG310">
        <v>7.04</v>
      </c>
      <c r="AH310">
        <v>0</v>
      </c>
      <c r="AI310">
        <v>0</v>
      </c>
      <c r="AJ310">
        <v>0</v>
      </c>
      <c r="AK310">
        <v>0</v>
      </c>
      <c r="AL310">
        <v>306473.24</v>
      </c>
      <c r="AM310">
        <v>73044.61</v>
      </c>
      <c r="AN310">
        <v>548755.75</v>
      </c>
      <c r="AO310">
        <v>8049421.0199999996</v>
      </c>
      <c r="AP310">
        <v>558962.43999999994</v>
      </c>
      <c r="AQ310">
        <v>115350.82</v>
      </c>
      <c r="AR310">
        <v>170000.44999999899</v>
      </c>
      <c r="AS310">
        <v>-5433078.4100000001</v>
      </c>
      <c r="AT310">
        <v>34.019399999999997</v>
      </c>
      <c r="AU310">
        <v>33.032837399999998</v>
      </c>
      <c r="AV310">
        <v>28936765.562399901</v>
      </c>
      <c r="AW310">
        <v>156521479.63420001</v>
      </c>
      <c r="AX310">
        <v>5.4090869035336002</v>
      </c>
      <c r="AY310">
        <v>1041383.00799999</v>
      </c>
      <c r="AZ310">
        <v>1.0531447710261099</v>
      </c>
      <c r="BA310">
        <v>1156426.82926829</v>
      </c>
      <c r="BB310">
        <v>1.1694879395595099</v>
      </c>
      <c r="BC310">
        <v>24.317133186166298</v>
      </c>
    </row>
    <row r="311" spans="1:55" x14ac:dyDescent="0.2">
      <c r="A311" t="s">
        <v>663</v>
      </c>
      <c r="B311" t="s">
        <v>664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1</v>
      </c>
      <c r="L311">
        <v>0.7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3954.15</v>
      </c>
      <c r="W311">
        <v>1357.4</v>
      </c>
      <c r="X311">
        <v>4308.26</v>
      </c>
      <c r="Y311">
        <v>111542.51</v>
      </c>
      <c r="Z311">
        <v>5299.63</v>
      </c>
      <c r="AA311">
        <v>2333.48</v>
      </c>
      <c r="AB311">
        <v>28552.29</v>
      </c>
      <c r="AC311">
        <v>129820.49</v>
      </c>
      <c r="AD311">
        <v>1.05</v>
      </c>
      <c r="AE311">
        <v>3.26</v>
      </c>
      <c r="AF311">
        <v>3.04</v>
      </c>
      <c r="AG311">
        <v>6.23</v>
      </c>
      <c r="AH311">
        <v>0</v>
      </c>
      <c r="AI311">
        <v>0</v>
      </c>
      <c r="AJ311">
        <v>0</v>
      </c>
      <c r="AK311">
        <v>0</v>
      </c>
      <c r="AL311">
        <v>9253.7800000000007</v>
      </c>
      <c r="AM311">
        <v>3690.88</v>
      </c>
      <c r="AN311">
        <v>32860.550000000003</v>
      </c>
      <c r="AO311">
        <v>241363</v>
      </c>
      <c r="AP311">
        <v>-9253.08</v>
      </c>
      <c r="AQ311">
        <v>-3689.88</v>
      </c>
      <c r="AR311">
        <v>-32859.550000000003</v>
      </c>
      <c r="AS311">
        <v>-241363</v>
      </c>
      <c r="AT311">
        <v>0.453592</v>
      </c>
      <c r="AU311">
        <v>0.44043783199999997</v>
      </c>
      <c r="AV311">
        <v>0</v>
      </c>
      <c r="AW311">
        <v>0</v>
      </c>
    </row>
    <row r="312" spans="1:55" x14ac:dyDescent="0.2">
      <c r="A312" t="s">
        <v>665</v>
      </c>
      <c r="B312" t="s">
        <v>666</v>
      </c>
      <c r="C312">
        <v>1290</v>
      </c>
      <c r="D312">
        <v>0</v>
      </c>
      <c r="E312">
        <v>0</v>
      </c>
      <c r="F312">
        <v>300</v>
      </c>
      <c r="G312">
        <v>160</v>
      </c>
      <c r="H312">
        <v>200</v>
      </c>
      <c r="I312">
        <v>1950</v>
      </c>
      <c r="J312">
        <v>38350.17</v>
      </c>
      <c r="K312">
        <v>494714.18</v>
      </c>
      <c r="L312">
        <v>346299.93</v>
      </c>
      <c r="M312">
        <v>82134.45</v>
      </c>
      <c r="N312">
        <v>253672.71</v>
      </c>
      <c r="O312">
        <v>609060.6</v>
      </c>
      <c r="P312">
        <v>15180000</v>
      </c>
      <c r="Q312">
        <v>100013.22</v>
      </c>
      <c r="R312">
        <v>9325.91</v>
      </c>
      <c r="S312">
        <v>149524.04</v>
      </c>
      <c r="T312">
        <v>640507.46</v>
      </c>
      <c r="U312">
        <v>77</v>
      </c>
      <c r="V312">
        <v>76277.05</v>
      </c>
      <c r="W312">
        <v>18343.240000000002</v>
      </c>
      <c r="X312">
        <v>53616.93</v>
      </c>
      <c r="Y312">
        <v>1414558.5</v>
      </c>
      <c r="Z312">
        <v>100013.22</v>
      </c>
      <c r="AA312">
        <v>9325.91</v>
      </c>
      <c r="AB312">
        <v>149524.04</v>
      </c>
      <c r="AC312">
        <v>640507.46</v>
      </c>
      <c r="AD312">
        <v>1.1100000000000001</v>
      </c>
      <c r="AE312">
        <v>1.01</v>
      </c>
      <c r="AF312">
        <v>1.03</v>
      </c>
      <c r="AG312">
        <v>3.26</v>
      </c>
      <c r="AH312">
        <v>8565.48</v>
      </c>
      <c r="AI312">
        <v>1299.0999999999999</v>
      </c>
      <c r="AJ312">
        <v>4948.9399999999996</v>
      </c>
      <c r="AK312">
        <v>159888.95999999999</v>
      </c>
      <c r="AL312">
        <v>176290.27</v>
      </c>
      <c r="AM312">
        <v>27669.15</v>
      </c>
      <c r="AN312">
        <v>203140.97</v>
      </c>
      <c r="AO312">
        <v>2055065.96</v>
      </c>
      <c r="AP312">
        <v>261457.4</v>
      </c>
      <c r="AQ312">
        <v>62492.11</v>
      </c>
      <c r="AR312">
        <v>195106.84</v>
      </c>
      <c r="AS312">
        <v>-965386.85999999905</v>
      </c>
      <c r="AT312">
        <v>34.926583999999998</v>
      </c>
      <c r="AU312">
        <v>33.913713064</v>
      </c>
      <c r="AV312">
        <v>15968271.7961843</v>
      </c>
      <c r="AW312">
        <v>57462523.799999997</v>
      </c>
      <c r="AX312">
        <v>3.59854369548811</v>
      </c>
      <c r="AY312">
        <v>495484.19639999903</v>
      </c>
      <c r="AZ312">
        <v>1.00155648742471</v>
      </c>
      <c r="BA312">
        <v>526935.36585365795</v>
      </c>
      <c r="BB312">
        <v>1.06513091226465</v>
      </c>
      <c r="BC312">
        <v>25.041518872431901</v>
      </c>
    </row>
    <row r="313" spans="1:55" x14ac:dyDescent="0.2">
      <c r="A313" t="s">
        <v>667</v>
      </c>
      <c r="B313" t="s">
        <v>668</v>
      </c>
      <c r="C313">
        <v>1580</v>
      </c>
      <c r="D313">
        <v>300</v>
      </c>
      <c r="E313">
        <v>300</v>
      </c>
      <c r="F313">
        <v>300</v>
      </c>
      <c r="G313">
        <v>275</v>
      </c>
      <c r="H313">
        <v>240</v>
      </c>
      <c r="I313">
        <v>2995</v>
      </c>
      <c r="J313">
        <v>57542.18</v>
      </c>
      <c r="K313">
        <v>728083.08</v>
      </c>
      <c r="L313">
        <v>509658.16</v>
      </c>
      <c r="M313">
        <v>119458.26</v>
      </c>
      <c r="N313">
        <v>328395.27</v>
      </c>
      <c r="O313">
        <v>815155.19999999995</v>
      </c>
      <c r="P313">
        <v>29670000</v>
      </c>
      <c r="Q313">
        <v>83805.27</v>
      </c>
      <c r="R313">
        <v>11841.81</v>
      </c>
      <c r="S313">
        <v>97617.22</v>
      </c>
      <c r="T313">
        <v>825564.17</v>
      </c>
      <c r="U313">
        <v>94</v>
      </c>
      <c r="V313">
        <v>43399.87</v>
      </c>
      <c r="W313">
        <v>9903.6299999999992</v>
      </c>
      <c r="X313">
        <v>10859.28</v>
      </c>
      <c r="Y313">
        <v>417130.56</v>
      </c>
      <c r="Z313">
        <v>83805.27</v>
      </c>
      <c r="AA313">
        <v>11841.81</v>
      </c>
      <c r="AB313">
        <v>97617.22</v>
      </c>
      <c r="AC313">
        <v>825564.17</v>
      </c>
      <c r="AD313">
        <v>1.07</v>
      </c>
      <c r="AE313">
        <v>0.73</v>
      </c>
      <c r="AF313">
        <v>0.69</v>
      </c>
      <c r="AG313">
        <v>1.74</v>
      </c>
      <c r="AH313">
        <v>0</v>
      </c>
      <c r="AI313">
        <v>0</v>
      </c>
      <c r="AJ313">
        <v>0</v>
      </c>
      <c r="AK313">
        <v>0</v>
      </c>
      <c r="AL313">
        <v>127205.14</v>
      </c>
      <c r="AM313">
        <v>21745.439999999999</v>
      </c>
      <c r="AN313">
        <v>108476.5</v>
      </c>
      <c r="AO313">
        <v>1242694.73</v>
      </c>
      <c r="AP313">
        <v>466258.28999999899</v>
      </c>
      <c r="AQ313">
        <v>109554.63</v>
      </c>
      <c r="AR313">
        <v>317535.99</v>
      </c>
      <c r="AS313">
        <v>398024.64</v>
      </c>
      <c r="AT313">
        <v>42.637647999999999</v>
      </c>
      <c r="AU313">
        <v>41.401156207999897</v>
      </c>
      <c r="AV313">
        <v>28409473.3899296</v>
      </c>
      <c r="AW313">
        <v>112313114.7</v>
      </c>
      <c r="AX313">
        <v>3.9533684119541599</v>
      </c>
      <c r="AY313">
        <v>743444.9656</v>
      </c>
      <c r="AZ313">
        <v>1.0210990833628399</v>
      </c>
      <c r="BA313">
        <v>789245.73170731706</v>
      </c>
      <c r="BB313">
        <v>1.0840050447365299</v>
      </c>
      <c r="BC313">
        <v>25.150358509674302</v>
      </c>
    </row>
    <row r="314" spans="1:55" x14ac:dyDescent="0.2">
      <c r="A314" t="s">
        <v>669</v>
      </c>
      <c r="B314" t="s">
        <v>670</v>
      </c>
      <c r="C314">
        <v>1550</v>
      </c>
      <c r="D314">
        <v>400</v>
      </c>
      <c r="E314">
        <v>200</v>
      </c>
      <c r="F314">
        <v>0</v>
      </c>
      <c r="G314">
        <v>310</v>
      </c>
      <c r="H314">
        <v>560</v>
      </c>
      <c r="I314">
        <v>3020</v>
      </c>
      <c r="J314">
        <v>52799.09</v>
      </c>
      <c r="K314">
        <v>681923.46</v>
      </c>
      <c r="L314">
        <v>477346.42</v>
      </c>
      <c r="M314">
        <v>108667.54</v>
      </c>
      <c r="N314">
        <v>307863.96000000002</v>
      </c>
      <c r="O314">
        <v>824049</v>
      </c>
      <c r="P314">
        <v>64180195</v>
      </c>
      <c r="Q314">
        <v>148433.18</v>
      </c>
      <c r="R314">
        <v>24096.06</v>
      </c>
      <c r="S314">
        <v>136029.18</v>
      </c>
      <c r="T314">
        <v>991204.75</v>
      </c>
      <c r="U314">
        <v>80</v>
      </c>
      <c r="V314">
        <v>0</v>
      </c>
      <c r="W314">
        <v>0</v>
      </c>
      <c r="X314">
        <v>0</v>
      </c>
      <c r="Y314">
        <v>0</v>
      </c>
      <c r="Z314">
        <v>148433.18</v>
      </c>
      <c r="AA314">
        <v>24096.06</v>
      </c>
      <c r="AB314">
        <v>136029.18</v>
      </c>
      <c r="AC314">
        <v>991204.75</v>
      </c>
      <c r="AD314">
        <v>2.46</v>
      </c>
      <c r="AE314">
        <v>1.21</v>
      </c>
      <c r="AF314">
        <v>1.1299999999999999</v>
      </c>
      <c r="AG314">
        <v>4.76</v>
      </c>
      <c r="AH314">
        <v>0</v>
      </c>
      <c r="AI314">
        <v>0</v>
      </c>
      <c r="AJ314">
        <v>0</v>
      </c>
      <c r="AK314">
        <v>0</v>
      </c>
      <c r="AL314">
        <v>148433.18</v>
      </c>
      <c r="AM314">
        <v>24096.06</v>
      </c>
      <c r="AN314">
        <v>136029.18</v>
      </c>
      <c r="AO314">
        <v>991204.75</v>
      </c>
      <c r="AP314">
        <v>477346.42</v>
      </c>
      <c r="AQ314">
        <v>108667.54</v>
      </c>
      <c r="AR314">
        <v>307863.96000000002</v>
      </c>
      <c r="AS314">
        <v>824049</v>
      </c>
      <c r="AT314">
        <v>36.28736</v>
      </c>
      <c r="AU314">
        <v>35.235026560000001</v>
      </c>
      <c r="AV314">
        <v>25078530.15408</v>
      </c>
      <c r="AW314">
        <v>242948351.95495</v>
      </c>
      <c r="AX314">
        <v>9.6875036320828798</v>
      </c>
      <c r="AY314">
        <v>682164.24280000001</v>
      </c>
      <c r="AZ314">
        <v>1.00035309358619</v>
      </c>
      <c r="BA314">
        <v>777182.92682926799</v>
      </c>
      <c r="BB314">
        <v>1.13969231507194</v>
      </c>
      <c r="BC314">
        <v>22.549611354166601</v>
      </c>
    </row>
    <row r="315" spans="1:55" x14ac:dyDescent="0.2">
      <c r="A315" t="s">
        <v>671</v>
      </c>
      <c r="B315" t="s">
        <v>672</v>
      </c>
      <c r="C315">
        <v>450</v>
      </c>
      <c r="D315">
        <v>60</v>
      </c>
      <c r="E315">
        <v>250</v>
      </c>
      <c r="F315">
        <v>170</v>
      </c>
      <c r="G315">
        <v>55</v>
      </c>
      <c r="H315">
        <v>55</v>
      </c>
      <c r="I315">
        <v>1040</v>
      </c>
      <c r="J315">
        <v>18272.87</v>
      </c>
      <c r="K315">
        <v>221766.1</v>
      </c>
      <c r="L315">
        <v>155236.26999999999</v>
      </c>
      <c r="M315">
        <v>36777.9</v>
      </c>
      <c r="N315">
        <v>92344.46</v>
      </c>
      <c r="O315">
        <v>226297.8</v>
      </c>
      <c r="P315">
        <v>7905589</v>
      </c>
      <c r="Q315">
        <v>57761.95</v>
      </c>
      <c r="R315">
        <v>6693.29</v>
      </c>
      <c r="S315">
        <v>41405.67</v>
      </c>
      <c r="T315">
        <v>272946.71999999997</v>
      </c>
      <c r="U315">
        <v>90</v>
      </c>
      <c r="V315">
        <v>83702.38</v>
      </c>
      <c r="W315">
        <v>20827.310000000001</v>
      </c>
      <c r="X315">
        <v>74883.42</v>
      </c>
      <c r="Y315">
        <v>1052161.92</v>
      </c>
      <c r="Z315">
        <v>57761.95</v>
      </c>
      <c r="AA315">
        <v>6693.29</v>
      </c>
      <c r="AB315">
        <v>41405.67</v>
      </c>
      <c r="AC315">
        <v>272946.71999999997</v>
      </c>
      <c r="AD315">
        <v>0.6</v>
      </c>
      <c r="AE315">
        <v>1.58</v>
      </c>
      <c r="AF315">
        <v>1.29</v>
      </c>
      <c r="AG315">
        <v>2.02</v>
      </c>
      <c r="AH315">
        <v>0</v>
      </c>
      <c r="AI315">
        <v>0</v>
      </c>
      <c r="AJ315">
        <v>0</v>
      </c>
      <c r="AK315">
        <v>0</v>
      </c>
      <c r="AL315">
        <v>141464.32999999999</v>
      </c>
      <c r="AM315">
        <v>27520.6</v>
      </c>
      <c r="AN315">
        <v>116289.09</v>
      </c>
      <c r="AO315">
        <v>1325108.6399999999</v>
      </c>
      <c r="AP315">
        <v>71533.889999999898</v>
      </c>
      <c r="AQ315">
        <v>15950.59</v>
      </c>
      <c r="AR315">
        <v>17461.04</v>
      </c>
      <c r="AS315">
        <v>-825864.11999999895</v>
      </c>
      <c r="AT315">
        <v>40.823279999999997</v>
      </c>
      <c r="AU315">
        <v>39.639404879999901</v>
      </c>
      <c r="AV315">
        <v>7378875.2184119904</v>
      </c>
      <c r="AW315">
        <v>29925895.656490002</v>
      </c>
      <c r="AX315">
        <v>4.0556175258009404</v>
      </c>
      <c r="AY315">
        <v>236085.48039999901</v>
      </c>
      <c r="AZ315">
        <v>1.0645697444289199</v>
      </c>
      <c r="BA315">
        <v>247131.70731707299</v>
      </c>
      <c r="BB315">
        <v>1.1143800036032201</v>
      </c>
      <c r="BC315">
        <v>25.9593787248787</v>
      </c>
    </row>
    <row r="316" spans="1:55" x14ac:dyDescent="0.2">
      <c r="A316" t="s">
        <v>673</v>
      </c>
      <c r="B316" t="s">
        <v>674</v>
      </c>
      <c r="C316">
        <v>2654</v>
      </c>
      <c r="D316">
        <v>0</v>
      </c>
      <c r="E316">
        <v>0</v>
      </c>
      <c r="F316">
        <v>689</v>
      </c>
      <c r="G316">
        <v>689</v>
      </c>
      <c r="H316">
        <v>0</v>
      </c>
      <c r="I316">
        <v>4032</v>
      </c>
      <c r="J316">
        <v>73833.289999999994</v>
      </c>
      <c r="K316">
        <v>952570.87</v>
      </c>
      <c r="L316">
        <v>666799.61</v>
      </c>
      <c r="M316">
        <v>157184.75</v>
      </c>
      <c r="N316">
        <v>492173.44</v>
      </c>
      <c r="O316">
        <v>1253059.56</v>
      </c>
      <c r="P316">
        <v>43707000</v>
      </c>
      <c r="Q316">
        <v>129558.8</v>
      </c>
      <c r="R316">
        <v>76967.289999999994</v>
      </c>
      <c r="S316">
        <v>188545.22</v>
      </c>
      <c r="T316">
        <v>1609126.63</v>
      </c>
      <c r="U316">
        <v>60</v>
      </c>
      <c r="V316">
        <v>51565.75</v>
      </c>
      <c r="W316">
        <v>9928.98</v>
      </c>
      <c r="X316">
        <v>18084.669999999998</v>
      </c>
      <c r="Y316">
        <v>818816.22</v>
      </c>
      <c r="Z316">
        <v>129781.64</v>
      </c>
      <c r="AA316">
        <v>77206.679999999993</v>
      </c>
      <c r="AB316">
        <v>191843.46</v>
      </c>
      <c r="AC316">
        <v>1616297.65</v>
      </c>
      <c r="AD316">
        <v>1.1200000000000001</v>
      </c>
      <c r="AE316">
        <v>3.75</v>
      </c>
      <c r="AF316">
        <v>1.07</v>
      </c>
      <c r="AG316">
        <v>3.49</v>
      </c>
      <c r="AH316">
        <v>27569.01</v>
      </c>
      <c r="AI316">
        <v>7028.11</v>
      </c>
      <c r="AJ316">
        <v>33728.42</v>
      </c>
      <c r="AK316">
        <v>808735.49</v>
      </c>
      <c r="AL316">
        <v>181347.39</v>
      </c>
      <c r="AM316">
        <v>87135.659999999902</v>
      </c>
      <c r="AN316">
        <v>209928.13</v>
      </c>
      <c r="AO316">
        <v>2435113.87</v>
      </c>
      <c r="AP316">
        <v>587442.01</v>
      </c>
      <c r="AQ316">
        <v>139988.26999999999</v>
      </c>
      <c r="AR316">
        <v>437062.11</v>
      </c>
      <c r="AS316">
        <v>-381663.17</v>
      </c>
      <c r="AT316">
        <v>27.215519999999898</v>
      </c>
      <c r="AU316">
        <v>26.4262699199999</v>
      </c>
      <c r="AV316">
        <v>25599391.934203099</v>
      </c>
      <c r="AW316">
        <v>165448914.87</v>
      </c>
      <c r="AX316">
        <v>6.4630017500120598</v>
      </c>
      <c r="AY316">
        <v>953926.10679999995</v>
      </c>
      <c r="AZ316">
        <v>1.0014227149314301</v>
      </c>
      <c r="BA316">
        <v>1091385.60975609</v>
      </c>
      <c r="BB316">
        <v>1.14572641692906</v>
      </c>
      <c r="BC316">
        <v>23.378679141824399</v>
      </c>
    </row>
    <row r="317" spans="1:55" x14ac:dyDescent="0.2">
      <c r="A317" t="s">
        <v>675</v>
      </c>
      <c r="B317" t="s">
        <v>676</v>
      </c>
      <c r="C317">
        <v>4500</v>
      </c>
      <c r="D317">
        <v>750</v>
      </c>
      <c r="E317">
        <v>1500</v>
      </c>
      <c r="F317">
        <v>2500</v>
      </c>
      <c r="G317">
        <v>1000</v>
      </c>
      <c r="H317">
        <v>0</v>
      </c>
      <c r="I317">
        <v>10250</v>
      </c>
      <c r="J317">
        <v>160253.10999999999</v>
      </c>
      <c r="K317">
        <v>2013235.39</v>
      </c>
      <c r="L317">
        <v>1409264.77</v>
      </c>
      <c r="M317">
        <v>329625.34000000003</v>
      </c>
      <c r="N317">
        <v>834506.59</v>
      </c>
      <c r="O317">
        <v>2297565</v>
      </c>
      <c r="P317">
        <v>38911512</v>
      </c>
      <c r="Q317">
        <v>232493.64</v>
      </c>
      <c r="R317">
        <v>19857.55</v>
      </c>
      <c r="S317">
        <v>293021.01</v>
      </c>
      <c r="T317">
        <v>1323578.43</v>
      </c>
      <c r="U317">
        <v>60</v>
      </c>
      <c r="V317">
        <v>0</v>
      </c>
      <c r="W317">
        <v>0</v>
      </c>
      <c r="X317">
        <v>0</v>
      </c>
      <c r="Y317">
        <v>0</v>
      </c>
      <c r="Z317">
        <v>232493.64</v>
      </c>
      <c r="AA317">
        <v>19857.55</v>
      </c>
      <c r="AB317">
        <v>293021.01</v>
      </c>
      <c r="AC317">
        <v>1323578.43</v>
      </c>
      <c r="AD317">
        <v>1.23</v>
      </c>
      <c r="AE317">
        <v>0.65</v>
      </c>
      <c r="AF317">
        <v>1.08</v>
      </c>
      <c r="AG317">
        <v>3.05</v>
      </c>
      <c r="AH317">
        <v>0</v>
      </c>
      <c r="AI317">
        <v>0</v>
      </c>
      <c r="AJ317">
        <v>0</v>
      </c>
      <c r="AK317">
        <v>0</v>
      </c>
      <c r="AL317">
        <v>232493.64</v>
      </c>
      <c r="AM317">
        <v>19857.55</v>
      </c>
      <c r="AN317">
        <v>293021.01</v>
      </c>
      <c r="AO317">
        <v>1323578.43</v>
      </c>
      <c r="AP317">
        <v>1409264.77</v>
      </c>
      <c r="AQ317">
        <v>329625.34000000003</v>
      </c>
      <c r="AR317">
        <v>834506.59</v>
      </c>
      <c r="AS317">
        <v>2297565</v>
      </c>
      <c r="AT317">
        <v>27.215519999999898</v>
      </c>
      <c r="AU317">
        <v>26.4262699199999</v>
      </c>
      <c r="AV317">
        <v>50639339.734199896</v>
      </c>
      <c r="AW317">
        <v>147296026.63992</v>
      </c>
      <c r="AX317">
        <v>2.9087272348545499</v>
      </c>
      <c r="AY317">
        <v>2070470.18119999</v>
      </c>
      <c r="AZ317">
        <v>1.0284292594319999</v>
      </c>
      <c r="BA317">
        <v>2494908.5365853598</v>
      </c>
      <c r="BB317">
        <v>1.2392532681363999</v>
      </c>
      <c r="BC317">
        <v>22.636959552110199</v>
      </c>
    </row>
    <row r="318" spans="1:55" x14ac:dyDescent="0.2">
      <c r="A318" t="s">
        <v>314</v>
      </c>
      <c r="C318">
        <v>0</v>
      </c>
      <c r="D318">
        <v>0</v>
      </c>
      <c r="E318">
        <v>492</v>
      </c>
      <c r="F318">
        <v>1086</v>
      </c>
      <c r="G318">
        <v>572</v>
      </c>
      <c r="H318">
        <v>15</v>
      </c>
      <c r="I318">
        <v>2165</v>
      </c>
      <c r="J318">
        <v>17939.080000000002</v>
      </c>
      <c r="K318">
        <v>180240.36</v>
      </c>
      <c r="L318">
        <v>126168.25</v>
      </c>
      <c r="M318">
        <v>27539.05</v>
      </c>
      <c r="N318">
        <v>1</v>
      </c>
      <c r="O318">
        <v>0</v>
      </c>
      <c r="P318">
        <v>23977181</v>
      </c>
      <c r="Q318">
        <v>39330.01</v>
      </c>
      <c r="R318">
        <v>15155.26</v>
      </c>
      <c r="S318">
        <v>152402.82999999999</v>
      </c>
      <c r="T318">
        <v>659314.56000000006</v>
      </c>
      <c r="U318">
        <v>1</v>
      </c>
      <c r="V318">
        <v>85806.33</v>
      </c>
      <c r="W318">
        <v>27907.68</v>
      </c>
      <c r="X318">
        <v>51200.04</v>
      </c>
      <c r="Y318">
        <v>0</v>
      </c>
      <c r="Z318">
        <v>39330.01</v>
      </c>
      <c r="AA318">
        <v>15155.26</v>
      </c>
      <c r="AB318">
        <v>152402.82999999999</v>
      </c>
      <c r="AC318">
        <v>659314.56000000006</v>
      </c>
      <c r="AD318">
        <v>1.32</v>
      </c>
      <c r="AE318">
        <v>1.97</v>
      </c>
      <c r="AF318">
        <v>1.51</v>
      </c>
      <c r="AG318">
        <v>1.28</v>
      </c>
      <c r="AH318">
        <v>0</v>
      </c>
      <c r="AI318">
        <v>0</v>
      </c>
      <c r="AJ318">
        <v>0</v>
      </c>
      <c r="AK318">
        <v>0</v>
      </c>
      <c r="AL318">
        <v>125136.34</v>
      </c>
      <c r="AM318">
        <v>43062.94</v>
      </c>
      <c r="AN318">
        <v>203602.87</v>
      </c>
      <c r="AO318">
        <v>659314.56000000006</v>
      </c>
      <c r="AP318">
        <v>40361.919999999998</v>
      </c>
      <c r="AQ318">
        <v>-368.63000000000397</v>
      </c>
      <c r="AR318">
        <v>-51199.040000000001</v>
      </c>
      <c r="AS318">
        <v>0</v>
      </c>
      <c r="AT318">
        <v>0.453592</v>
      </c>
      <c r="AU318">
        <v>0.44043783199999997</v>
      </c>
      <c r="AV318">
        <v>0</v>
      </c>
      <c r="AW318">
        <v>90763460.729210004</v>
      </c>
      <c r="AY318">
        <v>231772.9136</v>
      </c>
      <c r="AZ318">
        <v>1.28591017905201</v>
      </c>
      <c r="BA318">
        <v>236849.39024390199</v>
      </c>
      <c r="BB318">
        <v>1.3140752173592101</v>
      </c>
      <c r="BC318">
        <v>22.648261123941399</v>
      </c>
    </row>
    <row r="319" spans="1:55" x14ac:dyDescent="0.2">
      <c r="A319" t="s">
        <v>677</v>
      </c>
      <c r="B319" t="s">
        <v>678</v>
      </c>
      <c r="C319">
        <v>210</v>
      </c>
      <c r="D319">
        <v>40</v>
      </c>
      <c r="E319">
        <v>80</v>
      </c>
      <c r="F319">
        <v>60</v>
      </c>
      <c r="G319">
        <v>25</v>
      </c>
      <c r="H319">
        <v>25</v>
      </c>
      <c r="I319">
        <v>440</v>
      </c>
      <c r="J319">
        <v>7574.05</v>
      </c>
      <c r="K319">
        <v>93827.18</v>
      </c>
      <c r="L319">
        <v>65679.03</v>
      </c>
      <c r="M319">
        <v>15357.98</v>
      </c>
      <c r="N319">
        <v>40327.120000000003</v>
      </c>
      <c r="O319">
        <v>108372.6</v>
      </c>
      <c r="P319">
        <v>1365000</v>
      </c>
      <c r="Q319">
        <v>4218.1499999999996</v>
      </c>
      <c r="R319">
        <v>638.54</v>
      </c>
      <c r="S319">
        <v>7556.04</v>
      </c>
      <c r="T319">
        <v>34996.43</v>
      </c>
      <c r="U319">
        <v>70</v>
      </c>
      <c r="V319">
        <v>0</v>
      </c>
      <c r="W319">
        <v>0</v>
      </c>
      <c r="X319">
        <v>0</v>
      </c>
      <c r="Y319">
        <v>0</v>
      </c>
      <c r="Z319">
        <v>4218.1499999999996</v>
      </c>
      <c r="AA319">
        <v>638.54</v>
      </c>
      <c r="AB319">
        <v>7556.04</v>
      </c>
      <c r="AC319">
        <v>34996.43</v>
      </c>
      <c r="AD319">
        <v>1.35</v>
      </c>
      <c r="AE319">
        <v>0.57999999999999996</v>
      </c>
      <c r="AF319">
        <v>0.5</v>
      </c>
      <c r="AG319">
        <v>1.52</v>
      </c>
      <c r="AH319">
        <v>23761.919999999998</v>
      </c>
      <c r="AI319">
        <v>4740.74</v>
      </c>
      <c r="AJ319">
        <v>17122.560000000001</v>
      </c>
      <c r="AK319">
        <v>697715.19999999995</v>
      </c>
      <c r="AL319">
        <v>4218.1499999999996</v>
      </c>
      <c r="AM319">
        <v>638.54</v>
      </c>
      <c r="AN319">
        <v>7556.04</v>
      </c>
      <c r="AO319">
        <v>34996.43</v>
      </c>
      <c r="AP319">
        <v>41917.11</v>
      </c>
      <c r="AQ319">
        <v>10617.24</v>
      </c>
      <c r="AR319">
        <v>23204.560000000001</v>
      </c>
      <c r="AS319">
        <v>-589342.6</v>
      </c>
      <c r="AT319">
        <v>31.751439999999999</v>
      </c>
      <c r="AU319">
        <v>30.830648239999999</v>
      </c>
      <c r="AV319">
        <v>2813296.6518999999</v>
      </c>
      <c r="AW319">
        <v>5167084.6500000004</v>
      </c>
      <c r="AX319">
        <v>1.8366654104928199</v>
      </c>
      <c r="AY319">
        <v>97856.725999999995</v>
      </c>
      <c r="AZ319">
        <v>1.0429464681769101</v>
      </c>
      <c r="BA319">
        <v>112170.731707317</v>
      </c>
      <c r="BB319">
        <v>1.1955036025522301</v>
      </c>
      <c r="BC319">
        <v>23.705041984732802</v>
      </c>
    </row>
    <row r="320" spans="1:55" x14ac:dyDescent="0.2">
      <c r="A320" t="s">
        <v>679</v>
      </c>
      <c r="B320" t="s">
        <v>680</v>
      </c>
      <c r="C320">
        <v>0</v>
      </c>
      <c r="D320">
        <v>0</v>
      </c>
      <c r="E320">
        <v>250</v>
      </c>
      <c r="F320">
        <v>0</v>
      </c>
      <c r="G320">
        <v>0</v>
      </c>
      <c r="H320">
        <v>0</v>
      </c>
      <c r="I320">
        <v>250</v>
      </c>
      <c r="J320">
        <v>2620.5500000000002</v>
      </c>
      <c r="K320">
        <v>23790</v>
      </c>
      <c r="L320">
        <v>16653</v>
      </c>
      <c r="M320">
        <v>4026</v>
      </c>
      <c r="N320">
        <v>1</v>
      </c>
      <c r="O320">
        <v>0</v>
      </c>
      <c r="P320">
        <v>1890000</v>
      </c>
      <c r="Q320">
        <v>3237.78</v>
      </c>
      <c r="R320">
        <v>640.35</v>
      </c>
      <c r="S320">
        <v>7372.31</v>
      </c>
      <c r="T320">
        <v>58086.21</v>
      </c>
      <c r="U320">
        <v>1</v>
      </c>
      <c r="V320">
        <v>67853.789999999994</v>
      </c>
      <c r="W320">
        <v>21458.41</v>
      </c>
      <c r="X320">
        <v>66128.61</v>
      </c>
      <c r="Y320">
        <v>1123612.28</v>
      </c>
      <c r="Z320">
        <v>3237.78</v>
      </c>
      <c r="AA320">
        <v>640.35</v>
      </c>
      <c r="AB320">
        <v>7372.31</v>
      </c>
      <c r="AC320">
        <v>58086.21</v>
      </c>
      <c r="AD320">
        <v>1.29</v>
      </c>
      <c r="AE320">
        <v>1.64</v>
      </c>
      <c r="AF320">
        <v>1</v>
      </c>
      <c r="AG320">
        <v>4.8499999999999996</v>
      </c>
      <c r="AH320">
        <v>0</v>
      </c>
      <c r="AI320">
        <v>0</v>
      </c>
      <c r="AJ320">
        <v>0</v>
      </c>
      <c r="AK320">
        <v>0</v>
      </c>
      <c r="AL320">
        <v>71091.569999999905</v>
      </c>
      <c r="AM320">
        <v>22098.76</v>
      </c>
      <c r="AN320">
        <v>73500.92</v>
      </c>
      <c r="AO320">
        <v>1181698.49</v>
      </c>
      <c r="AP320">
        <v>-51200.789999999899</v>
      </c>
      <c r="AQ320">
        <v>-17432.409999999902</v>
      </c>
      <c r="AR320">
        <v>-66127.61</v>
      </c>
      <c r="AS320">
        <v>-1123612.28</v>
      </c>
      <c r="AT320">
        <v>0.453592</v>
      </c>
      <c r="AU320">
        <v>0.44043783199999997</v>
      </c>
      <c r="AV320">
        <v>0</v>
      </c>
      <c r="AW320">
        <v>7154424.9000000004</v>
      </c>
      <c r="AY320">
        <v>33857.506000000001</v>
      </c>
      <c r="AZ320">
        <v>1.4231822614543901</v>
      </c>
      <c r="BA320">
        <v>33384.146341463398</v>
      </c>
      <c r="BB320">
        <v>1.40328483991019</v>
      </c>
      <c r="BC320">
        <v>28.651346666666601</v>
      </c>
    </row>
    <row r="321" spans="1:55" x14ac:dyDescent="0.2">
      <c r="A321" t="s">
        <v>681</v>
      </c>
      <c r="B321" t="s">
        <v>682</v>
      </c>
      <c r="C321">
        <v>600</v>
      </c>
      <c r="D321">
        <v>96</v>
      </c>
      <c r="E321">
        <v>50</v>
      </c>
      <c r="F321">
        <v>250</v>
      </c>
      <c r="G321">
        <v>150</v>
      </c>
      <c r="H321">
        <v>0</v>
      </c>
      <c r="I321">
        <v>1146</v>
      </c>
      <c r="J321">
        <v>20372.98</v>
      </c>
      <c r="K321">
        <v>258350.96</v>
      </c>
      <c r="L321">
        <v>180845.67</v>
      </c>
      <c r="M321">
        <v>42362.97</v>
      </c>
      <c r="N321">
        <v>116406.19</v>
      </c>
      <c r="O321">
        <v>305419.68</v>
      </c>
      <c r="P321">
        <v>5386000</v>
      </c>
      <c r="Q321">
        <v>51527.44</v>
      </c>
      <c r="R321">
        <v>11414.06</v>
      </c>
      <c r="S321">
        <v>56532.35</v>
      </c>
      <c r="T321">
        <v>279509.93</v>
      </c>
      <c r="U321">
        <v>73</v>
      </c>
      <c r="V321">
        <v>111961.94</v>
      </c>
      <c r="W321">
        <v>66287.34</v>
      </c>
      <c r="X321">
        <v>123857.96</v>
      </c>
      <c r="Y321">
        <v>1470705.6</v>
      </c>
      <c r="Z321">
        <v>51527.44</v>
      </c>
      <c r="AA321">
        <v>11414.06</v>
      </c>
      <c r="AB321">
        <v>56532.35</v>
      </c>
      <c r="AC321">
        <v>279509.93</v>
      </c>
      <c r="AD321">
        <v>1.24</v>
      </c>
      <c r="AE321">
        <v>2.79</v>
      </c>
      <c r="AF321">
        <v>1.1399999999999999</v>
      </c>
      <c r="AG321">
        <v>2.58</v>
      </c>
      <c r="AH321">
        <v>0</v>
      </c>
      <c r="AI321">
        <v>0</v>
      </c>
      <c r="AJ321">
        <v>0</v>
      </c>
      <c r="AK321">
        <v>0</v>
      </c>
      <c r="AL321">
        <v>163489.38</v>
      </c>
      <c r="AM321">
        <v>77701.399999999994</v>
      </c>
      <c r="AN321">
        <v>180390.31</v>
      </c>
      <c r="AO321">
        <v>1750215.53</v>
      </c>
      <c r="AP321">
        <v>68883.73</v>
      </c>
      <c r="AQ321">
        <v>-23924.369999999901</v>
      </c>
      <c r="AR321">
        <v>-7451.7699999999804</v>
      </c>
      <c r="AS321">
        <v>-1165285.92</v>
      </c>
      <c r="AT321">
        <v>33.112215999999997</v>
      </c>
      <c r="AU321">
        <v>32.151961735999997</v>
      </c>
      <c r="AV321">
        <v>8167884.3594134301</v>
      </c>
      <c r="AW321">
        <v>20388218.260000002</v>
      </c>
      <c r="AX321">
        <v>2.4961443334469702</v>
      </c>
      <c r="AY321">
        <v>263218.90159999998</v>
      </c>
      <c r="AZ321">
        <v>1.0188423592464999</v>
      </c>
      <c r="BA321">
        <v>300777.80487804802</v>
      </c>
      <c r="BB321">
        <v>1.1642217426946999</v>
      </c>
      <c r="BC321">
        <v>23.672056339624699</v>
      </c>
    </row>
    <row r="322" spans="1:55" x14ac:dyDescent="0.2">
      <c r="A322" t="s">
        <v>683</v>
      </c>
      <c r="B322" t="s">
        <v>684</v>
      </c>
      <c r="C322">
        <v>600</v>
      </c>
      <c r="D322">
        <v>0</v>
      </c>
      <c r="E322">
        <v>300</v>
      </c>
      <c r="F322">
        <v>250</v>
      </c>
      <c r="G322">
        <v>0</v>
      </c>
      <c r="H322">
        <v>0</v>
      </c>
      <c r="I322">
        <v>1150</v>
      </c>
      <c r="J322">
        <v>21519.55</v>
      </c>
      <c r="K322">
        <v>261502.96</v>
      </c>
      <c r="L322">
        <v>183052.07</v>
      </c>
      <c r="M322">
        <v>44375.24</v>
      </c>
      <c r="N322">
        <v>118382.59</v>
      </c>
      <c r="O322">
        <v>283284</v>
      </c>
      <c r="P322">
        <v>14199000</v>
      </c>
      <c r="Q322">
        <v>55728.06</v>
      </c>
      <c r="R322">
        <v>7968.75</v>
      </c>
      <c r="S322">
        <v>97583.6</v>
      </c>
      <c r="T322">
        <v>427504.42</v>
      </c>
      <c r="U322">
        <v>78</v>
      </c>
      <c r="V322">
        <v>61314.45</v>
      </c>
      <c r="W322">
        <v>33470.910000000003</v>
      </c>
      <c r="X322">
        <v>65216.36</v>
      </c>
      <c r="Y322">
        <v>4623510.3600000003</v>
      </c>
      <c r="Z322">
        <v>45794.17</v>
      </c>
      <c r="AA322">
        <v>6596.83</v>
      </c>
      <c r="AB322">
        <v>77615.69</v>
      </c>
      <c r="AC322">
        <v>347392.42</v>
      </c>
      <c r="AD322">
        <v>1.01</v>
      </c>
      <c r="AE322">
        <v>2.5499999999999998</v>
      </c>
      <c r="AF322">
        <v>1.34</v>
      </c>
      <c r="AG322">
        <v>10.29</v>
      </c>
      <c r="AH322">
        <v>9933.89</v>
      </c>
      <c r="AI322">
        <v>1371.92</v>
      </c>
      <c r="AJ322">
        <v>19967.919999999998</v>
      </c>
      <c r="AK322">
        <v>80112</v>
      </c>
      <c r="AL322">
        <v>107108.62</v>
      </c>
      <c r="AM322">
        <v>40067.74</v>
      </c>
      <c r="AN322">
        <v>142832.04999999999</v>
      </c>
      <c r="AO322">
        <v>4970902.78</v>
      </c>
      <c r="AP322">
        <v>121737.62</v>
      </c>
      <c r="AQ322">
        <v>10904.3299999999</v>
      </c>
      <c r="AR322">
        <v>53166.22</v>
      </c>
      <c r="AS322">
        <v>-4340226.3600000003</v>
      </c>
      <c r="AT322">
        <v>35.380175999999999</v>
      </c>
      <c r="AU322">
        <v>34.354150896</v>
      </c>
      <c r="AV322">
        <v>7523559.0462239999</v>
      </c>
      <c r="AW322">
        <v>53749036.590000004</v>
      </c>
      <c r="AX322">
        <v>7.1440971300645399</v>
      </c>
      <c r="AY322">
        <v>278032.58600000001</v>
      </c>
      <c r="AZ322">
        <v>1.06321009138864</v>
      </c>
      <c r="BA322">
        <v>292445.12195121899</v>
      </c>
      <c r="BB322">
        <v>1.1183243277675301</v>
      </c>
      <c r="BC322">
        <v>26.858494672754901</v>
      </c>
    </row>
    <row r="323" spans="1:55" x14ac:dyDescent="0.2">
      <c r="A323" t="s">
        <v>685</v>
      </c>
      <c r="B323" t="s">
        <v>686</v>
      </c>
      <c r="C323">
        <v>3000</v>
      </c>
      <c r="D323">
        <v>450</v>
      </c>
      <c r="E323">
        <v>700</v>
      </c>
      <c r="F323">
        <v>700</v>
      </c>
      <c r="G323">
        <v>550</v>
      </c>
      <c r="H323">
        <v>550</v>
      </c>
      <c r="I323">
        <v>5950</v>
      </c>
      <c r="J323">
        <v>96161.22</v>
      </c>
      <c r="K323">
        <v>1234674.93</v>
      </c>
      <c r="L323">
        <v>864272.45</v>
      </c>
      <c r="M323">
        <v>199714.17</v>
      </c>
      <c r="N323">
        <v>556337.73</v>
      </c>
      <c r="O323">
        <v>1520181</v>
      </c>
      <c r="P323">
        <v>48068000</v>
      </c>
      <c r="Q323">
        <v>206011.75</v>
      </c>
      <c r="R323">
        <v>16345.33</v>
      </c>
      <c r="S323">
        <v>248780.21</v>
      </c>
      <c r="T323">
        <v>2591041.7200000002</v>
      </c>
      <c r="U323">
        <v>60</v>
      </c>
      <c r="V323">
        <v>0</v>
      </c>
      <c r="W323">
        <v>0</v>
      </c>
      <c r="X323">
        <v>0</v>
      </c>
      <c r="Y323">
        <v>0</v>
      </c>
      <c r="Z323">
        <v>206011.75</v>
      </c>
      <c r="AA323">
        <v>16345.33</v>
      </c>
      <c r="AB323">
        <v>248780.21</v>
      </c>
      <c r="AC323">
        <v>2591041.7200000002</v>
      </c>
      <c r="AD323">
        <v>1.19</v>
      </c>
      <c r="AE323">
        <v>0.52</v>
      </c>
      <c r="AF323">
        <v>1.03</v>
      </c>
      <c r="AG323">
        <v>5.62</v>
      </c>
      <c r="AH323">
        <v>210243.98</v>
      </c>
      <c r="AI323">
        <v>101730.96</v>
      </c>
      <c r="AJ323">
        <v>204818.33</v>
      </c>
      <c r="AK323">
        <v>5005163.2300000004</v>
      </c>
      <c r="AL323">
        <v>206011.75</v>
      </c>
      <c r="AM323">
        <v>16345.33</v>
      </c>
      <c r="AN323">
        <v>248780.21</v>
      </c>
      <c r="AO323">
        <v>2591041.7200000002</v>
      </c>
      <c r="AP323">
        <v>654028.47</v>
      </c>
      <c r="AQ323">
        <v>97983.21</v>
      </c>
      <c r="AR323">
        <v>351519.4</v>
      </c>
      <c r="AS323">
        <v>-3484982.23</v>
      </c>
      <c r="AT323">
        <v>27.215519999999898</v>
      </c>
      <c r="AU323">
        <v>26.4262699199999</v>
      </c>
      <c r="AV323">
        <v>33277280.396759901</v>
      </c>
      <c r="AW323">
        <v>181957087.88</v>
      </c>
      <c r="AX323">
        <v>5.46790740440784</v>
      </c>
      <c r="AY323">
        <v>1242402.9624000001</v>
      </c>
      <c r="AZ323">
        <v>1.00625916361645</v>
      </c>
      <c r="BA323">
        <v>1495164.63414634</v>
      </c>
      <c r="BB323">
        <v>1.2109783699474099</v>
      </c>
      <c r="BC323">
        <v>22.031908466051899</v>
      </c>
    </row>
    <row r="324" spans="1:55" x14ac:dyDescent="0.2">
      <c r="A324" t="s">
        <v>687</v>
      </c>
      <c r="B324" t="s">
        <v>688</v>
      </c>
      <c r="C324">
        <v>425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425</v>
      </c>
      <c r="J324">
        <v>11233.68</v>
      </c>
      <c r="K324">
        <v>146850.65</v>
      </c>
      <c r="L324">
        <v>102795.46</v>
      </c>
      <c r="M324">
        <v>24918.13</v>
      </c>
      <c r="N324">
        <v>83294.350000000006</v>
      </c>
      <c r="O324">
        <v>200659.5</v>
      </c>
      <c r="P324">
        <v>7992000</v>
      </c>
      <c r="Q324">
        <v>36922.82</v>
      </c>
      <c r="R324">
        <v>3958.78</v>
      </c>
      <c r="S324">
        <v>39874.449999999997</v>
      </c>
      <c r="T324">
        <v>177160.68</v>
      </c>
      <c r="U324">
        <v>76</v>
      </c>
      <c r="V324">
        <v>10435.280000000001</v>
      </c>
      <c r="W324">
        <v>2896.96</v>
      </c>
      <c r="X324">
        <v>1785.94</v>
      </c>
      <c r="Y324">
        <v>214416.38</v>
      </c>
      <c r="Z324">
        <v>36922.82</v>
      </c>
      <c r="AA324">
        <v>3958.78</v>
      </c>
      <c r="AB324">
        <v>39874.449999999997</v>
      </c>
      <c r="AC324">
        <v>177160.68</v>
      </c>
      <c r="AD324">
        <v>1.0900000000000001</v>
      </c>
      <c r="AE324">
        <v>0.38</v>
      </c>
      <c r="AF324">
        <v>0.1</v>
      </c>
      <c r="AG324">
        <v>0.9</v>
      </c>
      <c r="AH324">
        <v>0</v>
      </c>
      <c r="AI324">
        <v>0</v>
      </c>
      <c r="AJ324">
        <v>0</v>
      </c>
      <c r="AK324">
        <v>0</v>
      </c>
      <c r="AL324">
        <v>47358.1</v>
      </c>
      <c r="AM324">
        <v>6855.74</v>
      </c>
      <c r="AN324">
        <v>41660.39</v>
      </c>
      <c r="AO324">
        <v>391577.06</v>
      </c>
      <c r="AP324">
        <v>92360.18</v>
      </c>
      <c r="AQ324">
        <v>22021.17</v>
      </c>
      <c r="AR324">
        <v>81508.41</v>
      </c>
      <c r="AS324">
        <v>-13756.88</v>
      </c>
      <c r="AT324">
        <v>34.472991999999998</v>
      </c>
      <c r="AU324">
        <v>33.473275231999999</v>
      </c>
      <c r="AV324">
        <v>5192541.82036399</v>
      </c>
      <c r="AW324">
        <v>30252996.719999999</v>
      </c>
      <c r="AX324">
        <v>5.82624035907702</v>
      </c>
      <c r="AY324">
        <v>145139.14559999999</v>
      </c>
      <c r="AZ324">
        <v>0.98834527187996701</v>
      </c>
      <c r="BA324">
        <v>155125</v>
      </c>
      <c r="BB324">
        <v>1.0563453413382899</v>
      </c>
      <c r="BC324">
        <v>26.432188235294099</v>
      </c>
    </row>
    <row r="325" spans="1:55" x14ac:dyDescent="0.2">
      <c r="A325" t="s">
        <v>689</v>
      </c>
      <c r="B325" t="s">
        <v>690</v>
      </c>
      <c r="C325">
        <v>400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400</v>
      </c>
      <c r="J325">
        <v>10525.51</v>
      </c>
      <c r="K325">
        <v>137596.91</v>
      </c>
      <c r="L325">
        <v>96317.84</v>
      </c>
      <c r="M325">
        <v>23339.19</v>
      </c>
      <c r="N325">
        <v>78131.16</v>
      </c>
      <c r="O325">
        <v>188856</v>
      </c>
      <c r="P325">
        <v>16956000</v>
      </c>
      <c r="Q325">
        <v>29390.09</v>
      </c>
      <c r="R325">
        <v>5356.46</v>
      </c>
      <c r="S325">
        <v>24829.71</v>
      </c>
      <c r="T325">
        <v>195032.66</v>
      </c>
      <c r="U325">
        <v>75</v>
      </c>
      <c r="V325">
        <v>4188.54</v>
      </c>
      <c r="W325">
        <v>790.43</v>
      </c>
      <c r="X325">
        <v>5887.6</v>
      </c>
      <c r="Y325">
        <v>563643.36</v>
      </c>
      <c r="Z325">
        <v>29390.09</v>
      </c>
      <c r="AA325">
        <v>5356.46</v>
      </c>
      <c r="AB325">
        <v>24829.71</v>
      </c>
      <c r="AC325">
        <v>195032.66</v>
      </c>
      <c r="AD325">
        <v>1.05</v>
      </c>
      <c r="AE325">
        <v>0.2</v>
      </c>
      <c r="AF325">
        <v>0.18</v>
      </c>
      <c r="AG325">
        <v>1.51</v>
      </c>
      <c r="AH325">
        <v>0</v>
      </c>
      <c r="AI325">
        <v>0</v>
      </c>
      <c r="AJ325">
        <v>0</v>
      </c>
      <c r="AK325">
        <v>0</v>
      </c>
      <c r="AL325">
        <v>33578.629999999997</v>
      </c>
      <c r="AM325">
        <v>6146.89</v>
      </c>
      <c r="AN325">
        <v>30717.309999999899</v>
      </c>
      <c r="AO325">
        <v>758676.02</v>
      </c>
      <c r="AP325">
        <v>92129.299999999901</v>
      </c>
      <c r="AQ325">
        <v>22548.76</v>
      </c>
      <c r="AR325">
        <v>72243.56</v>
      </c>
      <c r="AS325">
        <v>-374787.36</v>
      </c>
      <c r="AT325">
        <v>34.019399999999997</v>
      </c>
      <c r="AU325">
        <v>33.032837399999998</v>
      </c>
      <c r="AV325">
        <v>4822794.2604</v>
      </c>
      <c r="AW325">
        <v>64185411.960000001</v>
      </c>
      <c r="AX325">
        <v>13.3087601283403</v>
      </c>
      <c r="AY325">
        <v>135989.58919999999</v>
      </c>
      <c r="AZ325">
        <v>0.98831862721335795</v>
      </c>
      <c r="BA325">
        <v>146000</v>
      </c>
      <c r="BB325">
        <v>1.0610703394429399</v>
      </c>
      <c r="BC325">
        <v>26.313775</v>
      </c>
    </row>
    <row r="326" spans="1:55" x14ac:dyDescent="0.2">
      <c r="A326" t="s">
        <v>691</v>
      </c>
      <c r="B326" t="s">
        <v>692</v>
      </c>
      <c r="C326">
        <v>0</v>
      </c>
      <c r="D326">
        <v>150</v>
      </c>
      <c r="E326">
        <v>350</v>
      </c>
      <c r="F326">
        <v>250</v>
      </c>
      <c r="G326">
        <v>0</v>
      </c>
      <c r="H326">
        <v>0</v>
      </c>
      <c r="I326">
        <v>750</v>
      </c>
      <c r="J326">
        <v>8239.85</v>
      </c>
      <c r="K326">
        <v>84546</v>
      </c>
      <c r="L326">
        <v>59182.2</v>
      </c>
      <c r="M326">
        <v>13285.8</v>
      </c>
      <c r="N326">
        <v>1</v>
      </c>
      <c r="O326">
        <v>34587</v>
      </c>
      <c r="P326">
        <v>3300000</v>
      </c>
      <c r="Q326">
        <v>11951.71</v>
      </c>
      <c r="R326">
        <v>1343.88</v>
      </c>
      <c r="S326">
        <v>25528.19</v>
      </c>
      <c r="T326">
        <v>235729.56</v>
      </c>
      <c r="U326">
        <v>1</v>
      </c>
      <c r="V326">
        <v>29210.47</v>
      </c>
      <c r="W326">
        <v>7084.18</v>
      </c>
      <c r="X326">
        <v>40531.5</v>
      </c>
      <c r="Y326">
        <v>432884.57</v>
      </c>
      <c r="Z326">
        <v>11951.71</v>
      </c>
      <c r="AA326">
        <v>1343.88</v>
      </c>
      <c r="AB326">
        <v>25528.19</v>
      </c>
      <c r="AC326">
        <v>235729.56</v>
      </c>
      <c r="AD326">
        <v>1.29</v>
      </c>
      <c r="AE326">
        <v>1.29</v>
      </c>
      <c r="AF326">
        <v>0.98</v>
      </c>
      <c r="AG326">
        <v>2.41</v>
      </c>
      <c r="AH326">
        <v>0</v>
      </c>
      <c r="AI326">
        <v>0</v>
      </c>
      <c r="AJ326">
        <v>0</v>
      </c>
      <c r="AK326">
        <v>0</v>
      </c>
      <c r="AL326">
        <v>41162.18</v>
      </c>
      <c r="AM326">
        <v>8428.06</v>
      </c>
      <c r="AN326">
        <v>66059.69</v>
      </c>
      <c r="AO326">
        <v>668614.13</v>
      </c>
      <c r="AP326">
        <v>29971.73</v>
      </c>
      <c r="AQ326">
        <v>6201.6199999999899</v>
      </c>
      <c r="AR326">
        <v>-40530.5</v>
      </c>
      <c r="AS326">
        <v>-398297.57</v>
      </c>
      <c r="AT326">
        <v>0.453592</v>
      </c>
      <c r="AU326">
        <v>0.44043783199999997</v>
      </c>
      <c r="AV326">
        <v>24113.9713019999</v>
      </c>
      <c r="AW326">
        <v>12491853</v>
      </c>
      <c r="AX326">
        <v>518.03383372874498</v>
      </c>
      <c r="AY326">
        <v>106458.86199999999</v>
      </c>
      <c r="AZ326">
        <v>1.2591827171007499</v>
      </c>
      <c r="BA326">
        <v>134871.951219512</v>
      </c>
      <c r="BB326">
        <v>1.5952493461489801</v>
      </c>
      <c r="BC326">
        <v>22.2992640264026</v>
      </c>
    </row>
    <row r="327" spans="1:55" x14ac:dyDescent="0.2">
      <c r="A327" t="s">
        <v>693</v>
      </c>
      <c r="B327" t="s">
        <v>694</v>
      </c>
      <c r="C327">
        <v>3196</v>
      </c>
      <c r="D327">
        <v>358</v>
      </c>
      <c r="E327">
        <v>1400</v>
      </c>
      <c r="F327">
        <v>1000</v>
      </c>
      <c r="G327">
        <v>400</v>
      </c>
      <c r="H327">
        <v>400</v>
      </c>
      <c r="I327">
        <v>6754</v>
      </c>
      <c r="J327">
        <v>115596.49</v>
      </c>
      <c r="K327">
        <v>1434289.29</v>
      </c>
      <c r="L327">
        <v>1004002.5</v>
      </c>
      <c r="M327">
        <v>236676.31</v>
      </c>
      <c r="N327">
        <v>624268</v>
      </c>
      <c r="O327">
        <v>1591507.08</v>
      </c>
      <c r="P327">
        <v>62311041</v>
      </c>
      <c r="Q327">
        <v>175109.46</v>
      </c>
      <c r="R327">
        <v>27662.33</v>
      </c>
      <c r="S327">
        <v>228470.39999999999</v>
      </c>
      <c r="T327">
        <v>2160437.54</v>
      </c>
      <c r="U327">
        <v>75</v>
      </c>
      <c r="V327">
        <v>267867.59999999998</v>
      </c>
      <c r="W327">
        <v>72416.600000000006</v>
      </c>
      <c r="X327">
        <v>133255</v>
      </c>
      <c r="Y327">
        <v>5262362</v>
      </c>
      <c r="Z327">
        <v>175109.46</v>
      </c>
      <c r="AA327">
        <v>27662.33</v>
      </c>
      <c r="AB327">
        <v>228470.39999999999</v>
      </c>
      <c r="AC327">
        <v>2160437.54</v>
      </c>
      <c r="AD327">
        <v>1.05</v>
      </c>
      <c r="AE327">
        <v>0.76</v>
      </c>
      <c r="AF327">
        <v>0.36</v>
      </c>
      <c r="AG327">
        <v>2.8</v>
      </c>
      <c r="AH327">
        <v>0</v>
      </c>
      <c r="AI327">
        <v>0</v>
      </c>
      <c r="AJ327">
        <v>0</v>
      </c>
      <c r="AK327">
        <v>0</v>
      </c>
      <c r="AL327">
        <v>442977.05999999901</v>
      </c>
      <c r="AM327">
        <v>100078.93</v>
      </c>
      <c r="AN327">
        <v>361725.4</v>
      </c>
      <c r="AO327">
        <v>7422799.54</v>
      </c>
      <c r="AP327">
        <v>736134.9</v>
      </c>
      <c r="AQ327">
        <v>164259.71</v>
      </c>
      <c r="AR327">
        <v>491013</v>
      </c>
      <c r="AS327">
        <v>-3670854.92</v>
      </c>
      <c r="AT327">
        <v>34.019399999999997</v>
      </c>
      <c r="AU327">
        <v>33.032837399999998</v>
      </c>
      <c r="AV327">
        <v>42850527.003653899</v>
      </c>
      <c r="AW327">
        <v>235872837.71180999</v>
      </c>
      <c r="AX327">
        <v>5.5045492834124596</v>
      </c>
      <c r="AY327">
        <v>1493506.6507999999</v>
      </c>
      <c r="AZ327">
        <v>1.04128690161243</v>
      </c>
      <c r="BA327">
        <v>1653307.5609756</v>
      </c>
      <c r="BB327">
        <v>1.1527016010665501</v>
      </c>
      <c r="BC327">
        <v>24.466254839608901</v>
      </c>
    </row>
    <row r="328" spans="1:55" x14ac:dyDescent="0.2">
      <c r="A328" t="s">
        <v>695</v>
      </c>
      <c r="B328" t="s">
        <v>696</v>
      </c>
      <c r="C328">
        <v>834</v>
      </c>
      <c r="D328">
        <v>0</v>
      </c>
      <c r="E328">
        <v>50</v>
      </c>
      <c r="F328">
        <v>0</v>
      </c>
      <c r="G328">
        <v>0</v>
      </c>
      <c r="H328">
        <v>0</v>
      </c>
      <c r="I328">
        <v>884</v>
      </c>
      <c r="J328">
        <v>22469.8</v>
      </c>
      <c r="K328">
        <v>291647.55</v>
      </c>
      <c r="L328">
        <v>204153.29</v>
      </c>
      <c r="M328">
        <v>49467.42</v>
      </c>
      <c r="N328">
        <v>162903.48000000001</v>
      </c>
      <c r="O328">
        <v>393764.76</v>
      </c>
      <c r="P328">
        <v>26700000</v>
      </c>
      <c r="Q328">
        <v>39566.92</v>
      </c>
      <c r="R328">
        <v>8191.35</v>
      </c>
      <c r="S328">
        <v>35685.89</v>
      </c>
      <c r="T328">
        <v>249568.91</v>
      </c>
      <c r="U328">
        <v>75</v>
      </c>
      <c r="V328">
        <v>20857.32</v>
      </c>
      <c r="W328">
        <v>3667.41</v>
      </c>
      <c r="X328">
        <v>15295.37</v>
      </c>
      <c r="Y328">
        <v>872531.22</v>
      </c>
      <c r="Z328">
        <v>39566.92</v>
      </c>
      <c r="AA328">
        <v>8191.35</v>
      </c>
      <c r="AB328">
        <v>35685.89</v>
      </c>
      <c r="AC328">
        <v>249568.91</v>
      </c>
      <c r="AD328">
        <v>1.1299999999999999</v>
      </c>
      <c r="AE328">
        <v>0.53</v>
      </c>
      <c r="AF328">
        <v>0.41</v>
      </c>
      <c r="AG328">
        <v>2.58</v>
      </c>
      <c r="AH328">
        <v>0</v>
      </c>
      <c r="AI328">
        <v>0</v>
      </c>
      <c r="AJ328">
        <v>0</v>
      </c>
      <c r="AK328">
        <v>0</v>
      </c>
      <c r="AL328">
        <v>60424.24</v>
      </c>
      <c r="AM328">
        <v>11858.76</v>
      </c>
      <c r="AN328">
        <v>50981.26</v>
      </c>
      <c r="AO328">
        <v>1122100.1299999999</v>
      </c>
      <c r="AP328">
        <v>183295.97</v>
      </c>
      <c r="AQ328">
        <v>45800.0099999999</v>
      </c>
      <c r="AR328">
        <v>147608.10999999999</v>
      </c>
      <c r="AS328">
        <v>-478766.45999999897</v>
      </c>
      <c r="AT328">
        <v>34.019399999999997</v>
      </c>
      <c r="AU328">
        <v>33.032837399999998</v>
      </c>
      <c r="AV328">
        <v>10055526.0329339</v>
      </c>
      <c r="AW328">
        <v>101070447</v>
      </c>
      <c r="AX328">
        <v>10.051234183967299</v>
      </c>
      <c r="AY328">
        <v>290309.81599999999</v>
      </c>
      <c r="AZ328">
        <v>0.99541318279546598</v>
      </c>
      <c r="BA328">
        <v>311086.829268292</v>
      </c>
      <c r="BB328">
        <v>1.0666533261407201</v>
      </c>
      <c r="BC328">
        <v>26.3639480311355</v>
      </c>
    </row>
    <row r="329" spans="1:55" x14ac:dyDescent="0.2">
      <c r="A329" t="s">
        <v>697</v>
      </c>
      <c r="B329" t="s">
        <v>698</v>
      </c>
      <c r="C329">
        <v>290</v>
      </c>
      <c r="D329">
        <v>0</v>
      </c>
      <c r="E329">
        <v>150</v>
      </c>
      <c r="F329">
        <v>105</v>
      </c>
      <c r="G329">
        <v>0</v>
      </c>
      <c r="H329">
        <v>0</v>
      </c>
      <c r="I329">
        <v>545</v>
      </c>
      <c r="J329">
        <v>9906.24</v>
      </c>
      <c r="K329">
        <v>119561.43</v>
      </c>
      <c r="L329">
        <v>83693</v>
      </c>
      <c r="M329">
        <v>20206.97</v>
      </c>
      <c r="N329">
        <v>54734.57</v>
      </c>
      <c r="O329">
        <v>136920.6</v>
      </c>
      <c r="P329">
        <v>7775000</v>
      </c>
      <c r="Q329">
        <v>34225.31</v>
      </c>
      <c r="R329">
        <v>2256.23</v>
      </c>
      <c r="S329">
        <v>52364.25</v>
      </c>
      <c r="T329">
        <v>401110.77</v>
      </c>
      <c r="U329">
        <v>65</v>
      </c>
      <c r="V329">
        <v>0</v>
      </c>
      <c r="W329">
        <v>0</v>
      </c>
      <c r="X329">
        <v>0</v>
      </c>
      <c r="Y329">
        <v>0</v>
      </c>
      <c r="Z329">
        <v>34225.31</v>
      </c>
      <c r="AA329">
        <v>2256.23</v>
      </c>
      <c r="AB329">
        <v>52364.25</v>
      </c>
      <c r="AC329">
        <v>401110.77</v>
      </c>
      <c r="AD329">
        <v>0.77</v>
      </c>
      <c r="AE329">
        <v>0.37</v>
      </c>
      <c r="AF329">
        <v>1.1599999999999999</v>
      </c>
      <c r="AG329">
        <v>1.84</v>
      </c>
      <c r="AH329">
        <v>6358.72</v>
      </c>
      <c r="AI329">
        <v>1392.3</v>
      </c>
      <c r="AJ329">
        <v>16449.3</v>
      </c>
      <c r="AK329">
        <v>0</v>
      </c>
      <c r="AL329">
        <v>34225.31</v>
      </c>
      <c r="AM329">
        <v>2256.23</v>
      </c>
      <c r="AN329">
        <v>52364.25</v>
      </c>
      <c r="AO329">
        <v>401110.77</v>
      </c>
      <c r="AP329">
        <v>77334.28</v>
      </c>
      <c r="AQ329">
        <v>18814.669999999998</v>
      </c>
      <c r="AR329">
        <v>38285.269999999997</v>
      </c>
      <c r="AS329">
        <v>136920.59999999899</v>
      </c>
      <c r="AT329">
        <v>29.48348</v>
      </c>
      <c r="AU329">
        <v>28.628459079999999</v>
      </c>
      <c r="AV329">
        <v>3030322.39361799</v>
      </c>
      <c r="AW329">
        <v>29431562.75</v>
      </c>
      <c r="AX329">
        <v>9.7123536465902909</v>
      </c>
      <c r="AY329">
        <v>127988.620799999</v>
      </c>
      <c r="AZ329">
        <v>1.0704841921010799</v>
      </c>
      <c r="BA329">
        <v>139901.829268292</v>
      </c>
      <c r="BB329">
        <v>1.17012509191545</v>
      </c>
      <c r="BC329">
        <v>25.845105949729501</v>
      </c>
    </row>
    <row r="330" spans="1:55" x14ac:dyDescent="0.2">
      <c r="A330" t="s">
        <v>699</v>
      </c>
      <c r="B330" t="s">
        <v>700</v>
      </c>
      <c r="C330">
        <v>1037</v>
      </c>
      <c r="D330">
        <v>0</v>
      </c>
      <c r="E330">
        <v>308</v>
      </c>
      <c r="F330">
        <v>260</v>
      </c>
      <c r="G330">
        <v>125</v>
      </c>
      <c r="H330">
        <v>0</v>
      </c>
      <c r="I330">
        <v>1730</v>
      </c>
      <c r="J330">
        <v>33648.89</v>
      </c>
      <c r="K330">
        <v>417175.86</v>
      </c>
      <c r="L330">
        <v>292023.09999999998</v>
      </c>
      <c r="M330">
        <v>70106.850000000006</v>
      </c>
      <c r="N330">
        <v>202555.04</v>
      </c>
      <c r="O330">
        <v>489609.18</v>
      </c>
      <c r="P330">
        <v>6881000</v>
      </c>
      <c r="Q330">
        <v>35028.42</v>
      </c>
      <c r="R330">
        <v>7613.26</v>
      </c>
      <c r="S330">
        <v>100817.2</v>
      </c>
      <c r="T330">
        <v>369124.39</v>
      </c>
      <c r="U330">
        <v>75</v>
      </c>
      <c r="V330">
        <v>0</v>
      </c>
      <c r="W330">
        <v>0</v>
      </c>
      <c r="X330">
        <v>0</v>
      </c>
      <c r="Y330">
        <v>0</v>
      </c>
      <c r="Z330">
        <v>35028.42</v>
      </c>
      <c r="AA330">
        <v>7613.26</v>
      </c>
      <c r="AB330">
        <v>100817.2</v>
      </c>
      <c r="AC330">
        <v>369124.39</v>
      </c>
      <c r="AD330">
        <v>1.19</v>
      </c>
      <c r="AE330">
        <v>1.2</v>
      </c>
      <c r="AF330">
        <v>2.5499999999999998</v>
      </c>
      <c r="AG330">
        <v>3.04</v>
      </c>
      <c r="AH330">
        <v>194571.72</v>
      </c>
      <c r="AI330">
        <v>75152.039999999994</v>
      </c>
      <c r="AJ330">
        <v>72063.600000000006</v>
      </c>
      <c r="AK330">
        <v>5085631.2</v>
      </c>
      <c r="AL330">
        <v>35028.42</v>
      </c>
      <c r="AM330">
        <v>7613.26</v>
      </c>
      <c r="AN330">
        <v>100817.2</v>
      </c>
      <c r="AO330">
        <v>369124.39</v>
      </c>
      <c r="AP330">
        <v>97451.379999999903</v>
      </c>
      <c r="AQ330">
        <v>-5045.1899999999796</v>
      </c>
      <c r="AR330">
        <v>130491.439999999</v>
      </c>
      <c r="AS330">
        <v>-4596022.0199999996</v>
      </c>
      <c r="AT330">
        <v>34.019399999999997</v>
      </c>
      <c r="AU330">
        <v>33.032837399999998</v>
      </c>
      <c r="AV330">
        <v>12503094.120087</v>
      </c>
      <c r="AW330">
        <v>26047406.210000001</v>
      </c>
      <c r="AX330">
        <v>2.08327682410654</v>
      </c>
      <c r="AY330">
        <v>434743.65879999998</v>
      </c>
      <c r="AZ330">
        <v>1.04211125447191</v>
      </c>
      <c r="BA330">
        <v>459917.80487804802</v>
      </c>
      <c r="BB330">
        <v>1.10245546057734</v>
      </c>
      <c r="BC330">
        <v>26.073565353794901</v>
      </c>
    </row>
    <row r="331" spans="1:55" x14ac:dyDescent="0.2">
      <c r="A331" t="s">
        <v>701</v>
      </c>
      <c r="B331" t="s">
        <v>702</v>
      </c>
      <c r="C331">
        <v>575</v>
      </c>
      <c r="D331">
        <v>100</v>
      </c>
      <c r="E331">
        <v>180</v>
      </c>
      <c r="F331">
        <v>300</v>
      </c>
      <c r="G331">
        <v>100</v>
      </c>
      <c r="H331">
        <v>100</v>
      </c>
      <c r="I331">
        <v>1355</v>
      </c>
      <c r="J331">
        <v>21516.38</v>
      </c>
      <c r="K331">
        <v>267596.7</v>
      </c>
      <c r="L331">
        <v>187317.69</v>
      </c>
      <c r="M331">
        <v>43606.9</v>
      </c>
      <c r="N331">
        <v>110419.5</v>
      </c>
      <c r="O331">
        <v>294538.5</v>
      </c>
      <c r="P331">
        <v>21733000</v>
      </c>
      <c r="Q331">
        <v>119072.9</v>
      </c>
      <c r="R331">
        <v>11358.48</v>
      </c>
      <c r="S331">
        <v>205445.35</v>
      </c>
      <c r="T331">
        <v>1164459.8</v>
      </c>
      <c r="U331">
        <v>70</v>
      </c>
      <c r="V331">
        <v>32768.01</v>
      </c>
      <c r="W331">
        <v>7975.85</v>
      </c>
      <c r="X331">
        <v>36859.519999999997</v>
      </c>
      <c r="Y331">
        <v>553491.64</v>
      </c>
      <c r="Z331">
        <v>119072.9</v>
      </c>
      <c r="AA331">
        <v>11358.48</v>
      </c>
      <c r="AB331">
        <v>205445.35</v>
      </c>
      <c r="AC331">
        <v>1164459.8</v>
      </c>
      <c r="AD331">
        <v>1.07</v>
      </c>
      <c r="AE331">
        <v>1.26</v>
      </c>
      <c r="AF331">
        <v>1.67</v>
      </c>
      <c r="AG331">
        <v>3.23</v>
      </c>
      <c r="AH331">
        <v>0</v>
      </c>
      <c r="AI331">
        <v>0</v>
      </c>
      <c r="AJ331">
        <v>0</v>
      </c>
      <c r="AK331">
        <v>0</v>
      </c>
      <c r="AL331">
        <v>151840.91</v>
      </c>
      <c r="AM331">
        <v>19334.330000000002</v>
      </c>
      <c r="AN331">
        <v>242304.87</v>
      </c>
      <c r="AO331">
        <v>1717951.44</v>
      </c>
      <c r="AP331">
        <v>154549.679999999</v>
      </c>
      <c r="AQ331">
        <v>35631.050000000003</v>
      </c>
      <c r="AR331">
        <v>73559.979999999894</v>
      </c>
      <c r="AS331">
        <v>-258953.139999999</v>
      </c>
      <c r="AT331">
        <v>31.751439999999999</v>
      </c>
      <c r="AU331">
        <v>30.830648239999999</v>
      </c>
      <c r="AV331">
        <v>7595900.9601299996</v>
      </c>
      <c r="AW331">
        <v>82268315.530000001</v>
      </c>
      <c r="AX331">
        <v>10.8306198253264</v>
      </c>
      <c r="AY331">
        <v>277991.62959999999</v>
      </c>
      <c r="AZ331">
        <v>1.0388455074371199</v>
      </c>
      <c r="BA331">
        <v>319375</v>
      </c>
      <c r="BB331">
        <v>1.1934937912164001</v>
      </c>
      <c r="BC331">
        <v>23.291658877887699</v>
      </c>
    </row>
    <row r="332" spans="1:55" x14ac:dyDescent="0.2">
      <c r="A332" t="s">
        <v>703</v>
      </c>
      <c r="B332" t="s">
        <v>704</v>
      </c>
      <c r="C332">
        <v>1201</v>
      </c>
      <c r="D332">
        <v>115</v>
      </c>
      <c r="E332">
        <v>0</v>
      </c>
      <c r="F332">
        <v>0</v>
      </c>
      <c r="G332">
        <v>0</v>
      </c>
      <c r="H332">
        <v>0</v>
      </c>
      <c r="I332">
        <v>1316</v>
      </c>
      <c r="J332">
        <v>31320.02</v>
      </c>
      <c r="K332">
        <v>408308.62</v>
      </c>
      <c r="L332">
        <v>285816.03000000003</v>
      </c>
      <c r="M332">
        <v>68096.88</v>
      </c>
      <c r="N332">
        <v>223511.76</v>
      </c>
      <c r="O332">
        <v>593556.84</v>
      </c>
      <c r="P332">
        <v>21710000</v>
      </c>
      <c r="Q332">
        <v>46113.72</v>
      </c>
      <c r="R332">
        <v>8305.26</v>
      </c>
      <c r="S332">
        <v>54870.84</v>
      </c>
      <c r="T332">
        <v>284192.61</v>
      </c>
      <c r="U332">
        <v>61</v>
      </c>
      <c r="V332">
        <v>8992.48</v>
      </c>
      <c r="W332">
        <v>2284.38</v>
      </c>
      <c r="X332">
        <v>5584.04</v>
      </c>
      <c r="Y332">
        <v>0</v>
      </c>
      <c r="Z332">
        <v>46113.72</v>
      </c>
      <c r="AA332">
        <v>8305.26</v>
      </c>
      <c r="AB332">
        <v>54870.84</v>
      </c>
      <c r="AC332">
        <v>284192.61</v>
      </c>
      <c r="AD332">
        <v>1.23</v>
      </c>
      <c r="AE332">
        <v>1.07</v>
      </c>
      <c r="AF332">
        <v>1.1599999999999999</v>
      </c>
      <c r="AG332">
        <v>1.48</v>
      </c>
      <c r="AH332">
        <v>79647.679999999993</v>
      </c>
      <c r="AI332">
        <v>20233.080000000002</v>
      </c>
      <c r="AJ332">
        <v>49458.64</v>
      </c>
      <c r="AK332">
        <v>0</v>
      </c>
      <c r="AL332">
        <v>55106.2</v>
      </c>
      <c r="AM332">
        <v>10589.64</v>
      </c>
      <c r="AN332">
        <v>60454.879999999997</v>
      </c>
      <c r="AO332">
        <v>284192.61</v>
      </c>
      <c r="AP332">
        <v>197175.87</v>
      </c>
      <c r="AQ332">
        <v>45579.42</v>
      </c>
      <c r="AR332">
        <v>168469.079999999</v>
      </c>
      <c r="AS332">
        <v>593556.84</v>
      </c>
      <c r="AT332">
        <v>27.669111999999998</v>
      </c>
      <c r="AU332">
        <v>26.8667077519999</v>
      </c>
      <c r="AV332">
        <v>12905154.4015956</v>
      </c>
      <c r="AW332">
        <v>82181251.099999994</v>
      </c>
      <c r="AX332">
        <v>6.3680951457534301</v>
      </c>
      <c r="AY332">
        <v>404654.65840000001</v>
      </c>
      <c r="AZ332">
        <v>0.99105098099569799</v>
      </c>
      <c r="BA332">
        <v>480340</v>
      </c>
      <c r="BB332">
        <v>1.17641405660257</v>
      </c>
      <c r="BC332">
        <v>23.7994072948328</v>
      </c>
    </row>
    <row r="333" spans="1:55" x14ac:dyDescent="0.2">
      <c r="A333" t="s">
        <v>705</v>
      </c>
      <c r="B333" t="s">
        <v>706</v>
      </c>
      <c r="C333">
        <v>800</v>
      </c>
      <c r="D333">
        <v>85</v>
      </c>
      <c r="E333">
        <v>310</v>
      </c>
      <c r="F333">
        <v>109</v>
      </c>
      <c r="G333">
        <v>237</v>
      </c>
      <c r="H333">
        <v>107</v>
      </c>
      <c r="I333">
        <v>1648</v>
      </c>
      <c r="J333">
        <v>26270.37</v>
      </c>
      <c r="K333">
        <v>329783.45</v>
      </c>
      <c r="L333">
        <v>230848.42</v>
      </c>
      <c r="M333">
        <v>53330.65</v>
      </c>
      <c r="N333">
        <v>148356.73000000001</v>
      </c>
      <c r="O333">
        <v>397311.3</v>
      </c>
      <c r="P333">
        <v>22500000</v>
      </c>
      <c r="Q333">
        <v>44365.52</v>
      </c>
      <c r="R333">
        <v>6681.67</v>
      </c>
      <c r="S333">
        <v>49272.51</v>
      </c>
      <c r="T333">
        <v>323957.90999999997</v>
      </c>
      <c r="U333">
        <v>60</v>
      </c>
      <c r="V333">
        <v>0</v>
      </c>
      <c r="W333">
        <v>0</v>
      </c>
      <c r="X333">
        <v>0</v>
      </c>
      <c r="Y333">
        <v>0</v>
      </c>
      <c r="Z333">
        <v>44365.52</v>
      </c>
      <c r="AA333">
        <v>6681.67</v>
      </c>
      <c r="AB333">
        <v>49272.51</v>
      </c>
      <c r="AC333">
        <v>323957.90999999997</v>
      </c>
      <c r="AD333">
        <v>0.88</v>
      </c>
      <c r="AE333">
        <v>0.78</v>
      </c>
      <c r="AF333">
        <v>0.98</v>
      </c>
      <c r="AG333">
        <v>1.28</v>
      </c>
      <c r="AH333">
        <v>52763.07</v>
      </c>
      <c r="AI333">
        <v>21149.24</v>
      </c>
      <c r="AJ333">
        <v>55257.97</v>
      </c>
      <c r="AK333">
        <v>0</v>
      </c>
      <c r="AL333">
        <v>44365.52</v>
      </c>
      <c r="AM333">
        <v>6681.67</v>
      </c>
      <c r="AN333">
        <v>49272.51</v>
      </c>
      <c r="AO333">
        <v>323957.90999999997</v>
      </c>
      <c r="AP333">
        <v>178085.35</v>
      </c>
      <c r="AQ333">
        <v>32181.41</v>
      </c>
      <c r="AR333">
        <v>93098.76</v>
      </c>
      <c r="AS333">
        <v>397311.3</v>
      </c>
      <c r="AT333">
        <v>27.215519999999898</v>
      </c>
      <c r="AU333">
        <v>26.4262699199999</v>
      </c>
      <c r="AV333">
        <v>8536345.8409079891</v>
      </c>
      <c r="AW333">
        <v>85171725</v>
      </c>
      <c r="AX333">
        <v>9.9775391704303704</v>
      </c>
      <c r="AY333">
        <v>339413.18040000001</v>
      </c>
      <c r="AZ333">
        <v>1.02920016271283</v>
      </c>
      <c r="BA333">
        <v>394289.02439024299</v>
      </c>
      <c r="BB333">
        <v>1.1955997925009301</v>
      </c>
      <c r="BC333">
        <v>22.5662093023255</v>
      </c>
    </row>
    <row r="334" spans="1:55" x14ac:dyDescent="0.2">
      <c r="A334" t="s">
        <v>707</v>
      </c>
      <c r="B334" t="s">
        <v>708</v>
      </c>
      <c r="C334">
        <v>0</v>
      </c>
      <c r="D334">
        <v>0</v>
      </c>
      <c r="E334">
        <v>380</v>
      </c>
      <c r="F334">
        <v>0</v>
      </c>
      <c r="G334">
        <v>0</v>
      </c>
      <c r="H334">
        <v>0</v>
      </c>
      <c r="I334">
        <v>380</v>
      </c>
      <c r="J334">
        <v>3920.65</v>
      </c>
      <c r="K334">
        <v>36160.800000000003</v>
      </c>
      <c r="L334">
        <v>25312.560000000001</v>
      </c>
      <c r="M334">
        <v>6119.52</v>
      </c>
      <c r="N334">
        <v>1</v>
      </c>
      <c r="O334">
        <v>0</v>
      </c>
      <c r="P334">
        <v>4920000</v>
      </c>
      <c r="Q334">
        <v>7457.19</v>
      </c>
      <c r="R334">
        <v>1392.31</v>
      </c>
      <c r="S334">
        <v>19061.650000000001</v>
      </c>
      <c r="T334">
        <v>154071.4</v>
      </c>
      <c r="U334">
        <v>1</v>
      </c>
      <c r="V334">
        <v>5631.52</v>
      </c>
      <c r="W334">
        <v>807.8</v>
      </c>
      <c r="X334">
        <v>1477.12</v>
      </c>
      <c r="Y334">
        <v>54238</v>
      </c>
      <c r="Z334">
        <v>7457.19</v>
      </c>
      <c r="AA334">
        <v>1392.31</v>
      </c>
      <c r="AB334">
        <v>19061.650000000001</v>
      </c>
      <c r="AC334">
        <v>154071.4</v>
      </c>
      <c r="AD334">
        <v>1.24</v>
      </c>
      <c r="AE334">
        <v>1.3</v>
      </c>
      <c r="AF334">
        <v>1.59</v>
      </c>
      <c r="AG334">
        <v>5.84</v>
      </c>
      <c r="AH334">
        <v>0</v>
      </c>
      <c r="AI334">
        <v>0</v>
      </c>
      <c r="AJ334">
        <v>0</v>
      </c>
      <c r="AK334">
        <v>0</v>
      </c>
      <c r="AL334">
        <v>13088.71</v>
      </c>
      <c r="AM334">
        <v>2200.1099999999901</v>
      </c>
      <c r="AN334">
        <v>20538.77</v>
      </c>
      <c r="AO334">
        <v>208309.4</v>
      </c>
      <c r="AP334">
        <v>19681.04</v>
      </c>
      <c r="AQ334">
        <v>5311.72</v>
      </c>
      <c r="AR334">
        <v>-1476.1199999999899</v>
      </c>
      <c r="AS334">
        <v>-54238</v>
      </c>
      <c r="AT334">
        <v>0.453592</v>
      </c>
      <c r="AU334">
        <v>0.44043783199999997</v>
      </c>
      <c r="AV334">
        <v>0</v>
      </c>
      <c r="AW334">
        <v>18624217.199999999</v>
      </c>
      <c r="AY334">
        <v>50654.798000000003</v>
      </c>
      <c r="AZ334">
        <v>1.40082072299285</v>
      </c>
      <c r="BA334">
        <v>50743.902439024299</v>
      </c>
      <c r="BB334">
        <v>1.40328483991018</v>
      </c>
      <c r="BC334">
        <v>28.201166666666602</v>
      </c>
    </row>
    <row r="335" spans="1:55" x14ac:dyDescent="0.2">
      <c r="A335" t="s">
        <v>709</v>
      </c>
      <c r="B335" t="s">
        <v>710</v>
      </c>
      <c r="C335">
        <v>600</v>
      </c>
      <c r="D335">
        <v>75</v>
      </c>
      <c r="E335">
        <v>500</v>
      </c>
      <c r="F335">
        <v>0</v>
      </c>
      <c r="G335">
        <v>0</v>
      </c>
      <c r="H335">
        <v>0</v>
      </c>
      <c r="I335">
        <v>1175</v>
      </c>
      <c r="J335">
        <v>19804.52</v>
      </c>
      <c r="K335">
        <v>244620.4</v>
      </c>
      <c r="L335">
        <v>171234.28</v>
      </c>
      <c r="M335">
        <v>40628.720000000001</v>
      </c>
      <c r="N335">
        <v>107314.75</v>
      </c>
      <c r="O335">
        <v>300577.5</v>
      </c>
      <c r="P335">
        <v>28992000</v>
      </c>
      <c r="Q335">
        <v>133654.04999999999</v>
      </c>
      <c r="R335">
        <v>8036.68</v>
      </c>
      <c r="S335">
        <v>187547</v>
      </c>
      <c r="T335">
        <v>1391385.22</v>
      </c>
      <c r="U335">
        <v>50</v>
      </c>
      <c r="V335">
        <v>44186.85</v>
      </c>
      <c r="W335">
        <v>6151.56</v>
      </c>
      <c r="X335">
        <v>12764.7</v>
      </c>
      <c r="Y335">
        <v>1011176.4</v>
      </c>
      <c r="Z335">
        <v>133654.04999999999</v>
      </c>
      <c r="AA335">
        <v>8036.68</v>
      </c>
      <c r="AB335">
        <v>187547</v>
      </c>
      <c r="AC335">
        <v>1391385.22</v>
      </c>
      <c r="AD335">
        <v>1.02</v>
      </c>
      <c r="AE335">
        <v>0.35</v>
      </c>
      <c r="AF335">
        <v>0.56999999999999995</v>
      </c>
      <c r="AG335">
        <v>5.87</v>
      </c>
      <c r="AH335">
        <v>0</v>
      </c>
      <c r="AI335">
        <v>0</v>
      </c>
      <c r="AJ335">
        <v>0</v>
      </c>
      <c r="AK335">
        <v>0</v>
      </c>
      <c r="AL335">
        <v>177840.9</v>
      </c>
      <c r="AM335">
        <v>14188.24</v>
      </c>
      <c r="AN335">
        <v>200311.7</v>
      </c>
      <c r="AO335">
        <v>2402561.62</v>
      </c>
      <c r="AP335">
        <v>127047.429999999</v>
      </c>
      <c r="AQ335">
        <v>34477.160000000003</v>
      </c>
      <c r="AR335">
        <v>94550.049999999901</v>
      </c>
      <c r="AS335">
        <v>-710598.9</v>
      </c>
      <c r="AT335">
        <v>22.679600000000001</v>
      </c>
      <c r="AU335">
        <v>22.0218916</v>
      </c>
      <c r="AV335">
        <v>5425643.5429499997</v>
      </c>
      <c r="AW335">
        <v>109746606.72</v>
      </c>
      <c r="AX335">
        <v>20.2273897743619</v>
      </c>
      <c r="AY335">
        <v>255874.39840000001</v>
      </c>
      <c r="AZ335">
        <v>1.0460059684310801</v>
      </c>
      <c r="BA335">
        <v>313143.292682926</v>
      </c>
      <c r="BB335">
        <v>1.2801192896542</v>
      </c>
      <c r="BC335">
        <v>23.084159772565702</v>
      </c>
    </row>
    <row r="336" spans="1:55" x14ac:dyDescent="0.2">
      <c r="A336" t="s">
        <v>711</v>
      </c>
      <c r="B336" t="s">
        <v>712</v>
      </c>
      <c r="C336">
        <v>174</v>
      </c>
      <c r="D336">
        <v>15</v>
      </c>
      <c r="E336">
        <v>0</v>
      </c>
      <c r="F336">
        <v>0</v>
      </c>
      <c r="G336">
        <v>0</v>
      </c>
      <c r="H336">
        <v>0</v>
      </c>
      <c r="I336">
        <v>189</v>
      </c>
      <c r="J336">
        <v>4586.3</v>
      </c>
      <c r="K336">
        <v>59922.38</v>
      </c>
      <c r="L336">
        <v>41945.67</v>
      </c>
      <c r="M336">
        <v>10022.61</v>
      </c>
      <c r="N336">
        <v>32840.74</v>
      </c>
      <c r="O336">
        <v>85611.06</v>
      </c>
      <c r="P336">
        <v>4219100</v>
      </c>
      <c r="Q336">
        <v>16584.7</v>
      </c>
      <c r="R336">
        <v>2645.05</v>
      </c>
      <c r="S336">
        <v>23877.25</v>
      </c>
      <c r="T336">
        <v>167376.57</v>
      </c>
      <c r="U336">
        <v>65</v>
      </c>
      <c r="V336">
        <v>33211.120000000003</v>
      </c>
      <c r="W336">
        <v>7982.06</v>
      </c>
      <c r="X336">
        <v>24942.639999999999</v>
      </c>
      <c r="Y336">
        <v>412085.76000000001</v>
      </c>
      <c r="Z336">
        <v>16584.7</v>
      </c>
      <c r="AA336">
        <v>2645.05</v>
      </c>
      <c r="AB336">
        <v>23877.25</v>
      </c>
      <c r="AC336">
        <v>167376.57</v>
      </c>
      <c r="AD336">
        <v>1.08</v>
      </c>
      <c r="AE336">
        <v>1.33</v>
      </c>
      <c r="AF336">
        <v>0.97</v>
      </c>
      <c r="AG336">
        <v>3.18</v>
      </c>
      <c r="AH336">
        <v>0</v>
      </c>
      <c r="AI336">
        <v>0</v>
      </c>
      <c r="AJ336">
        <v>0</v>
      </c>
      <c r="AK336">
        <v>0</v>
      </c>
      <c r="AL336">
        <v>49795.82</v>
      </c>
      <c r="AM336">
        <v>10627.11</v>
      </c>
      <c r="AN336">
        <v>48819.89</v>
      </c>
      <c r="AO336">
        <v>579462.32999999996</v>
      </c>
      <c r="AP336">
        <v>8734.5499999999793</v>
      </c>
      <c r="AQ336">
        <v>2040.54999999999</v>
      </c>
      <c r="AR336">
        <v>7898.0999999999904</v>
      </c>
      <c r="AS336">
        <v>-326474.7</v>
      </c>
      <c r="AT336">
        <v>29.48348</v>
      </c>
      <c r="AU336">
        <v>28.628459079999999</v>
      </c>
      <c r="AV336">
        <v>1974934.2496338</v>
      </c>
      <c r="AW336">
        <v>15971023.331</v>
      </c>
      <c r="AX336">
        <v>8.08686331403762</v>
      </c>
      <c r="AY336">
        <v>59254.995999999999</v>
      </c>
      <c r="AZ336">
        <v>0.98886252515337303</v>
      </c>
      <c r="BA336">
        <v>68985</v>
      </c>
      <c r="BB336">
        <v>1.15123931993355</v>
      </c>
      <c r="BC336">
        <v>24.266137566137498</v>
      </c>
    </row>
    <row r="337" spans="1:55" x14ac:dyDescent="0.2">
      <c r="A337" t="s">
        <v>713</v>
      </c>
      <c r="B337" t="s">
        <v>714</v>
      </c>
      <c r="C337">
        <v>850</v>
      </c>
      <c r="D337">
        <v>62</v>
      </c>
      <c r="E337">
        <v>155</v>
      </c>
      <c r="F337">
        <v>190</v>
      </c>
      <c r="G337">
        <v>0</v>
      </c>
      <c r="H337">
        <v>0</v>
      </c>
      <c r="I337">
        <v>1257</v>
      </c>
      <c r="J337">
        <v>26539.47</v>
      </c>
      <c r="K337">
        <v>335261.76</v>
      </c>
      <c r="L337">
        <v>234683.23</v>
      </c>
      <c r="M337">
        <v>56408.85</v>
      </c>
      <c r="N337">
        <v>165468.74</v>
      </c>
      <c r="O337">
        <v>415614.96</v>
      </c>
      <c r="P337">
        <v>29155000</v>
      </c>
      <c r="Q337">
        <v>106637.72</v>
      </c>
      <c r="R337">
        <v>20923.669999999998</v>
      </c>
      <c r="S337">
        <v>176391.39</v>
      </c>
      <c r="T337">
        <v>1070513.29</v>
      </c>
      <c r="U337">
        <v>74</v>
      </c>
      <c r="V337">
        <v>0</v>
      </c>
      <c r="W337">
        <v>0</v>
      </c>
      <c r="X337">
        <v>0</v>
      </c>
      <c r="Y337">
        <v>0</v>
      </c>
      <c r="Z337">
        <v>106637.72</v>
      </c>
      <c r="AA337">
        <v>20923.669999999998</v>
      </c>
      <c r="AB337">
        <v>176391.39</v>
      </c>
      <c r="AC337">
        <v>1070513.29</v>
      </c>
      <c r="AD337">
        <v>1.1000000000000001</v>
      </c>
      <c r="AE337">
        <v>1.02</v>
      </c>
      <c r="AF337">
        <v>1.27</v>
      </c>
      <c r="AG337">
        <v>3.27</v>
      </c>
      <c r="AH337">
        <v>94733.52</v>
      </c>
      <c r="AI337">
        <v>34529.040000000001</v>
      </c>
      <c r="AJ337">
        <v>106243.2</v>
      </c>
      <c r="AK337">
        <v>767312</v>
      </c>
      <c r="AL337">
        <v>106637.72</v>
      </c>
      <c r="AM337">
        <v>20923.669999999998</v>
      </c>
      <c r="AN337">
        <v>176391.39</v>
      </c>
      <c r="AO337">
        <v>1070513.29</v>
      </c>
      <c r="AP337">
        <v>139949.71</v>
      </c>
      <c r="AQ337">
        <v>21879.809999999899</v>
      </c>
      <c r="AR337">
        <v>59225.539999999899</v>
      </c>
      <c r="AS337">
        <v>-351697.04</v>
      </c>
      <c r="AT337">
        <v>33.565807999999997</v>
      </c>
      <c r="AU337">
        <v>32.592399567999998</v>
      </c>
      <c r="AV337">
        <v>10849357.9681958</v>
      </c>
      <c r="AW337">
        <v>110363628.55</v>
      </c>
      <c r="AX337">
        <v>10.172364933807399</v>
      </c>
      <c r="AY337">
        <v>342889.95240000001</v>
      </c>
      <c r="AZ337">
        <v>1.0227529450421</v>
      </c>
      <c r="BA337">
        <v>378950.12195121899</v>
      </c>
      <c r="BB337">
        <v>1.13031119907984</v>
      </c>
      <c r="BC337">
        <v>25.5624843188385</v>
      </c>
    </row>
    <row r="338" spans="1:55" x14ac:dyDescent="0.2">
      <c r="A338" t="s">
        <v>715</v>
      </c>
      <c r="B338" t="s">
        <v>716</v>
      </c>
      <c r="C338">
        <v>410</v>
      </c>
      <c r="D338">
        <v>60</v>
      </c>
      <c r="E338">
        <v>180</v>
      </c>
      <c r="F338">
        <v>145</v>
      </c>
      <c r="G338">
        <v>70</v>
      </c>
      <c r="H338">
        <v>60</v>
      </c>
      <c r="I338">
        <v>925</v>
      </c>
      <c r="J338">
        <v>15570.18</v>
      </c>
      <c r="K338">
        <v>187712.47</v>
      </c>
      <c r="L338">
        <v>131398.73000000001</v>
      </c>
      <c r="M338">
        <v>30728.880000000001</v>
      </c>
      <c r="N338">
        <v>79274.12</v>
      </c>
      <c r="O338">
        <v>207412.2</v>
      </c>
      <c r="P338">
        <v>15605182</v>
      </c>
      <c r="Q338">
        <v>79969.17</v>
      </c>
      <c r="R338">
        <v>9720.34</v>
      </c>
      <c r="S338">
        <v>146012.92000000001</v>
      </c>
      <c r="T338">
        <v>947327.97</v>
      </c>
      <c r="U338">
        <v>72</v>
      </c>
      <c r="V338">
        <v>0</v>
      </c>
      <c r="W338">
        <v>0</v>
      </c>
      <c r="X338">
        <v>0</v>
      </c>
      <c r="Y338">
        <v>0</v>
      </c>
      <c r="Z338">
        <v>79969.17</v>
      </c>
      <c r="AA338">
        <v>9720.34</v>
      </c>
      <c r="AB338">
        <v>146012.92000000001</v>
      </c>
      <c r="AC338">
        <v>947327.97</v>
      </c>
      <c r="AD338">
        <v>1.38</v>
      </c>
      <c r="AE338">
        <v>0.92</v>
      </c>
      <c r="AF338">
        <v>2.59</v>
      </c>
      <c r="AG338">
        <v>4.88</v>
      </c>
      <c r="AH338">
        <v>0</v>
      </c>
      <c r="AI338">
        <v>0</v>
      </c>
      <c r="AJ338">
        <v>0</v>
      </c>
      <c r="AK338">
        <v>0</v>
      </c>
      <c r="AL338">
        <v>79969.17</v>
      </c>
      <c r="AM338">
        <v>9720.34</v>
      </c>
      <c r="AN338">
        <v>146012.92000000001</v>
      </c>
      <c r="AO338">
        <v>947327.97</v>
      </c>
      <c r="AP338">
        <v>131398.73000000001</v>
      </c>
      <c r="AQ338">
        <v>30728.880000000001</v>
      </c>
      <c r="AR338">
        <v>79274.12</v>
      </c>
      <c r="AS338">
        <v>207412.19999999899</v>
      </c>
      <c r="AT338">
        <v>32.658624000000003</v>
      </c>
      <c r="AU338">
        <v>31.711523904</v>
      </c>
      <c r="AV338">
        <v>5440111.9257311998</v>
      </c>
      <c r="AW338">
        <v>59072011.994620003</v>
      </c>
      <c r="AX338">
        <v>10.858602323091</v>
      </c>
      <c r="AY338">
        <v>201166.72560000001</v>
      </c>
      <c r="AZ338">
        <v>1.0716748098834299</v>
      </c>
      <c r="BA338">
        <v>220735.97560975599</v>
      </c>
      <c r="BB338">
        <v>1.1759260085904499</v>
      </c>
      <c r="BC338">
        <v>24.463589959762398</v>
      </c>
    </row>
    <row r="339" spans="1:55" x14ac:dyDescent="0.2">
      <c r="A339" t="s">
        <v>717</v>
      </c>
      <c r="B339" t="s">
        <v>718</v>
      </c>
      <c r="C339">
        <v>1120</v>
      </c>
      <c r="D339">
        <v>125</v>
      </c>
      <c r="E339">
        <v>470</v>
      </c>
      <c r="F339">
        <v>445</v>
      </c>
      <c r="G339">
        <v>265</v>
      </c>
      <c r="H339">
        <v>0</v>
      </c>
      <c r="I339">
        <v>2425</v>
      </c>
      <c r="J339">
        <v>40811.96</v>
      </c>
      <c r="K339">
        <v>507073.04</v>
      </c>
      <c r="L339">
        <v>354951.13</v>
      </c>
      <c r="M339">
        <v>83747.73</v>
      </c>
      <c r="N339">
        <v>218029.4</v>
      </c>
      <c r="O339">
        <v>557619.30000000005</v>
      </c>
      <c r="P339">
        <v>16682295</v>
      </c>
      <c r="Q339">
        <v>102362.82</v>
      </c>
      <c r="R339">
        <v>18036.22</v>
      </c>
      <c r="S339">
        <v>162819.25</v>
      </c>
      <c r="T339">
        <v>706934.89</v>
      </c>
      <c r="U339">
        <v>74</v>
      </c>
      <c r="V339">
        <v>3058.37</v>
      </c>
      <c r="W339">
        <v>1236.8399999999999</v>
      </c>
      <c r="X339">
        <v>5554.54</v>
      </c>
      <c r="Y339">
        <v>0</v>
      </c>
      <c r="Z339">
        <v>102362.82</v>
      </c>
      <c r="AA339">
        <v>18036.22</v>
      </c>
      <c r="AB339">
        <v>162819.25</v>
      </c>
      <c r="AC339">
        <v>706934.89</v>
      </c>
      <c r="AD339">
        <v>1.18</v>
      </c>
      <c r="AE339">
        <v>1.1299999999999999</v>
      </c>
      <c r="AF339">
        <v>1.54</v>
      </c>
      <c r="AG339">
        <v>2.02</v>
      </c>
      <c r="AH339">
        <v>98245.92</v>
      </c>
      <c r="AI339">
        <v>32608.02</v>
      </c>
      <c r="AJ339">
        <v>115872.9</v>
      </c>
      <c r="AK339">
        <v>1197944.8</v>
      </c>
      <c r="AL339">
        <v>105421.19</v>
      </c>
      <c r="AM339">
        <v>19273.060000000001</v>
      </c>
      <c r="AN339">
        <v>168373.79</v>
      </c>
      <c r="AO339">
        <v>706934.89</v>
      </c>
      <c r="AP339">
        <v>253646.84</v>
      </c>
      <c r="AQ339">
        <v>49902.869999999901</v>
      </c>
      <c r="AR339">
        <v>96601.96</v>
      </c>
      <c r="AS339">
        <v>-640325.5</v>
      </c>
      <c r="AT339">
        <v>33.565807999999997</v>
      </c>
      <c r="AU339">
        <v>32.592399567999998</v>
      </c>
      <c r="AV339">
        <v>14810801.1736883</v>
      </c>
      <c r="AW339">
        <v>63149326.315949999</v>
      </c>
      <c r="AX339">
        <v>4.2637346606296802</v>
      </c>
      <c r="AY339">
        <v>527290.52319999901</v>
      </c>
      <c r="AZ339">
        <v>1.0398709487690301</v>
      </c>
      <c r="BA339">
        <v>588406.70731707301</v>
      </c>
      <c r="BB339">
        <v>1.1603983270675799</v>
      </c>
      <c r="BC339">
        <v>24.340539093752199</v>
      </c>
    </row>
    <row r="340" spans="1:55" x14ac:dyDescent="0.2">
      <c r="A340" t="s">
        <v>719</v>
      </c>
      <c r="B340" t="s">
        <v>720</v>
      </c>
      <c r="C340">
        <v>0</v>
      </c>
      <c r="D340">
        <v>0</v>
      </c>
      <c r="E340">
        <v>120</v>
      </c>
      <c r="F340">
        <v>0</v>
      </c>
      <c r="G340">
        <v>0</v>
      </c>
      <c r="H340">
        <v>0</v>
      </c>
      <c r="I340">
        <v>120</v>
      </c>
      <c r="J340">
        <v>1218.3399999999999</v>
      </c>
      <c r="K340">
        <v>11419.2</v>
      </c>
      <c r="L340">
        <v>7993.44</v>
      </c>
      <c r="M340">
        <v>1932.48</v>
      </c>
      <c r="N340">
        <v>1</v>
      </c>
      <c r="O340">
        <v>0</v>
      </c>
      <c r="P340">
        <v>1110000</v>
      </c>
      <c r="Q340">
        <v>1111.55</v>
      </c>
      <c r="R340">
        <v>126.9</v>
      </c>
      <c r="S340">
        <v>5965.34</v>
      </c>
      <c r="T340">
        <v>37051.800000000003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1111.55</v>
      </c>
      <c r="AA340">
        <v>126.9</v>
      </c>
      <c r="AB340">
        <v>5965.34</v>
      </c>
      <c r="AC340">
        <v>37051.800000000003</v>
      </c>
      <c r="AD340">
        <v>0.1</v>
      </c>
      <c r="AE340">
        <v>0.01</v>
      </c>
      <c r="AF340">
        <v>0.11</v>
      </c>
      <c r="AG340">
        <v>0.98</v>
      </c>
      <c r="AH340">
        <v>62480.88</v>
      </c>
      <c r="AI340">
        <v>30464.28</v>
      </c>
      <c r="AJ340">
        <v>122633.28</v>
      </c>
      <c r="AK340">
        <v>38808</v>
      </c>
      <c r="AL340">
        <v>1111.55</v>
      </c>
      <c r="AM340">
        <v>126.9</v>
      </c>
      <c r="AN340">
        <v>5965.34</v>
      </c>
      <c r="AO340">
        <v>37051.800000000003</v>
      </c>
      <c r="AP340">
        <v>-54487.4399999999</v>
      </c>
      <c r="AQ340">
        <v>-28531.8</v>
      </c>
      <c r="AR340">
        <v>-122632.28</v>
      </c>
      <c r="AS340">
        <v>-38808</v>
      </c>
      <c r="AT340">
        <v>0.453592</v>
      </c>
      <c r="AU340">
        <v>0.44043783199999997</v>
      </c>
      <c r="AV340">
        <v>0</v>
      </c>
      <c r="AW340">
        <v>4201805.0999999996</v>
      </c>
      <c r="AY340">
        <v>15740.952799999999</v>
      </c>
      <c r="AZ340">
        <v>1.37846371024239</v>
      </c>
      <c r="BA340">
        <v>16024.3902439024</v>
      </c>
      <c r="BB340">
        <v>1.40328483991018</v>
      </c>
      <c r="BC340">
        <v>27.751077777777699</v>
      </c>
    </row>
    <row r="341" spans="1:55" x14ac:dyDescent="0.2">
      <c r="A341" t="s">
        <v>721</v>
      </c>
      <c r="B341" t="s">
        <v>722</v>
      </c>
      <c r="C341">
        <v>0</v>
      </c>
      <c r="D341">
        <v>0</v>
      </c>
      <c r="E341">
        <v>260</v>
      </c>
      <c r="F341">
        <v>320</v>
      </c>
      <c r="G341">
        <v>0</v>
      </c>
      <c r="H341">
        <v>0</v>
      </c>
      <c r="I341">
        <v>580</v>
      </c>
      <c r="J341">
        <v>5643.55</v>
      </c>
      <c r="K341">
        <v>55192.800000000003</v>
      </c>
      <c r="L341">
        <v>38634.959999999999</v>
      </c>
      <c r="M341">
        <v>9340.32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13063.68</v>
      </c>
      <c r="W341">
        <v>4112.6400000000003</v>
      </c>
      <c r="X341">
        <v>16740.86</v>
      </c>
      <c r="Y341">
        <v>217728</v>
      </c>
      <c r="Z341">
        <v>0</v>
      </c>
      <c r="AA341">
        <v>0</v>
      </c>
      <c r="AB341">
        <v>0</v>
      </c>
      <c r="AC341">
        <v>0</v>
      </c>
      <c r="AD341">
        <v>1.18</v>
      </c>
      <c r="AE341">
        <v>1.68</v>
      </c>
      <c r="AF341">
        <v>1.35</v>
      </c>
      <c r="AG341">
        <v>3.44</v>
      </c>
      <c r="AH341">
        <v>0</v>
      </c>
      <c r="AI341">
        <v>0</v>
      </c>
      <c r="AJ341">
        <v>0</v>
      </c>
      <c r="AK341">
        <v>0</v>
      </c>
      <c r="AL341">
        <v>13063.68</v>
      </c>
      <c r="AM341">
        <v>4112.6400000000003</v>
      </c>
      <c r="AN341">
        <v>16740.86</v>
      </c>
      <c r="AO341">
        <v>217728</v>
      </c>
      <c r="AP341">
        <v>25571.279999999999</v>
      </c>
      <c r="AQ341">
        <v>5227.6799999999903</v>
      </c>
      <c r="AR341">
        <v>-16739.86</v>
      </c>
      <c r="AS341">
        <v>-217728</v>
      </c>
      <c r="AT341">
        <v>0.453592</v>
      </c>
      <c r="AU341">
        <v>0.44043783199999997</v>
      </c>
      <c r="AV341">
        <v>0</v>
      </c>
      <c r="AW341">
        <v>0</v>
      </c>
      <c r="AY341">
        <v>72914.665999999997</v>
      </c>
      <c r="AZ341">
        <v>1.3210901784290701</v>
      </c>
      <c r="BA341">
        <v>77451.219512195094</v>
      </c>
      <c r="BB341">
        <v>1.40328483991018</v>
      </c>
      <c r="BC341">
        <v>26.596040229884998</v>
      </c>
    </row>
    <row r="342" spans="1:55" x14ac:dyDescent="0.2">
      <c r="A342" t="s">
        <v>723</v>
      </c>
      <c r="B342" t="s">
        <v>724</v>
      </c>
      <c r="C342">
        <v>700</v>
      </c>
      <c r="D342">
        <v>110</v>
      </c>
      <c r="E342">
        <v>10</v>
      </c>
      <c r="F342">
        <v>0</v>
      </c>
      <c r="G342">
        <v>0</v>
      </c>
      <c r="H342">
        <v>0</v>
      </c>
      <c r="I342">
        <v>820</v>
      </c>
      <c r="J342">
        <v>21809.200000000001</v>
      </c>
      <c r="K342">
        <v>283417.48</v>
      </c>
      <c r="L342">
        <v>198392.24</v>
      </c>
      <c r="M342">
        <v>47622.64</v>
      </c>
      <c r="N342">
        <v>145952.74</v>
      </c>
      <c r="O342">
        <v>355861.8</v>
      </c>
      <c r="P342">
        <v>14844000</v>
      </c>
      <c r="Q342">
        <v>63330.94</v>
      </c>
      <c r="R342">
        <v>8119.04</v>
      </c>
      <c r="S342">
        <v>85632.44</v>
      </c>
      <c r="T342">
        <v>454505.42</v>
      </c>
      <c r="U342">
        <v>95</v>
      </c>
      <c r="V342">
        <v>152.99</v>
      </c>
      <c r="W342">
        <v>32.229999999999997</v>
      </c>
      <c r="X342">
        <v>93.42</v>
      </c>
      <c r="Y342">
        <v>3724.38</v>
      </c>
      <c r="Z342">
        <v>63330.94</v>
      </c>
      <c r="AA342">
        <v>8119.04</v>
      </c>
      <c r="AB342">
        <v>85632.44</v>
      </c>
      <c r="AC342">
        <v>454505.42</v>
      </c>
      <c r="AD342">
        <v>5.83</v>
      </c>
      <c r="AE342">
        <v>6.2</v>
      </c>
      <c r="AF342">
        <v>7.05</v>
      </c>
      <c r="AG342">
        <v>3.37</v>
      </c>
      <c r="AH342">
        <v>0</v>
      </c>
      <c r="AI342">
        <v>0</v>
      </c>
      <c r="AJ342">
        <v>0</v>
      </c>
      <c r="AK342">
        <v>0</v>
      </c>
      <c r="AL342">
        <v>63483.93</v>
      </c>
      <c r="AM342">
        <v>8151.2699999999904</v>
      </c>
      <c r="AN342">
        <v>85725.86</v>
      </c>
      <c r="AO342">
        <v>458229.8</v>
      </c>
      <c r="AP342">
        <v>198239.25</v>
      </c>
      <c r="AQ342">
        <v>47590.41</v>
      </c>
      <c r="AR342">
        <v>145859.32</v>
      </c>
      <c r="AS342">
        <v>352137.42</v>
      </c>
      <c r="AT342">
        <v>43.091239999999999</v>
      </c>
      <c r="AU342">
        <v>41.841594039999997</v>
      </c>
      <c r="AV342">
        <v>12370467.277925899</v>
      </c>
      <c r="AW342">
        <v>56190626.039999999</v>
      </c>
      <c r="AX342">
        <v>4.5423204134145498</v>
      </c>
      <c r="AY342">
        <v>281774.864</v>
      </c>
      <c r="AZ342">
        <v>0.99420425303336901</v>
      </c>
      <c r="BA342">
        <v>296985.365853658</v>
      </c>
      <c r="BB342">
        <v>1.04787243840308</v>
      </c>
      <c r="BC342">
        <v>26.803872901678599</v>
      </c>
    </row>
    <row r="343" spans="1:55" x14ac:dyDescent="0.2">
      <c r="A343" t="s">
        <v>725</v>
      </c>
      <c r="B343" t="s">
        <v>726</v>
      </c>
      <c r="C343">
        <v>575</v>
      </c>
      <c r="D343">
        <v>1</v>
      </c>
      <c r="E343">
        <v>100</v>
      </c>
      <c r="F343">
        <v>215</v>
      </c>
      <c r="G343">
        <v>106</v>
      </c>
      <c r="H343">
        <v>130</v>
      </c>
      <c r="I343">
        <v>1127</v>
      </c>
      <c r="J343">
        <v>18104.689999999999</v>
      </c>
      <c r="K343">
        <v>226775.62</v>
      </c>
      <c r="L343">
        <v>158742.93</v>
      </c>
      <c r="M343">
        <v>37061.96</v>
      </c>
      <c r="N343">
        <v>106631.4</v>
      </c>
      <c r="O343">
        <v>271711.08</v>
      </c>
      <c r="P343">
        <v>18235000</v>
      </c>
      <c r="Q343">
        <v>31699.95</v>
      </c>
      <c r="R343">
        <v>2604.5300000000002</v>
      </c>
      <c r="S343">
        <v>72256.100000000006</v>
      </c>
      <c r="T343">
        <v>393712.43</v>
      </c>
      <c r="U343">
        <v>60</v>
      </c>
      <c r="V343">
        <v>31509.35</v>
      </c>
      <c r="W343">
        <v>6964.09</v>
      </c>
      <c r="X343">
        <v>39478.269999999997</v>
      </c>
      <c r="Y343">
        <v>450783.9</v>
      </c>
      <c r="Z343">
        <v>31699.95</v>
      </c>
      <c r="AA343">
        <v>2604.5300000000002</v>
      </c>
      <c r="AB343">
        <v>72256.100000000006</v>
      </c>
      <c r="AC343">
        <v>393712.43</v>
      </c>
      <c r="AD343">
        <v>0.91</v>
      </c>
      <c r="AE343">
        <v>0.78</v>
      </c>
      <c r="AF343">
        <v>1.1399999999999999</v>
      </c>
      <c r="AG343">
        <v>1.95</v>
      </c>
      <c r="AH343">
        <v>17627.5</v>
      </c>
      <c r="AI343">
        <v>4196.3</v>
      </c>
      <c r="AJ343">
        <v>21633.439999999999</v>
      </c>
      <c r="AK343">
        <v>0</v>
      </c>
      <c r="AL343">
        <v>63209.3</v>
      </c>
      <c r="AM343">
        <v>9568.6200000000008</v>
      </c>
      <c r="AN343">
        <v>111734.37</v>
      </c>
      <c r="AO343">
        <v>844496.33</v>
      </c>
      <c r="AP343">
        <v>109606.08</v>
      </c>
      <c r="AQ343">
        <v>25901.569999999901</v>
      </c>
      <c r="AR343">
        <v>45519.69</v>
      </c>
      <c r="AS343">
        <v>-179072.82</v>
      </c>
      <c r="AT343">
        <v>27.215519999999898</v>
      </c>
      <c r="AU343">
        <v>26.4262699199999</v>
      </c>
      <c r="AV343">
        <v>5555858.9879807904</v>
      </c>
      <c r="AW343">
        <v>69026951.349999994</v>
      </c>
      <c r="AX343">
        <v>12.424172661568299</v>
      </c>
      <c r="AY343">
        <v>233912.59479999999</v>
      </c>
      <c r="AZ343">
        <v>1.0314715259074101</v>
      </c>
      <c r="BA343">
        <v>262808.90243902401</v>
      </c>
      <c r="BB343">
        <v>1.1588939871006601</v>
      </c>
      <c r="BC343">
        <v>23.283218531413599</v>
      </c>
    </row>
    <row r="344" spans="1:55" x14ac:dyDescent="0.2">
      <c r="A344" t="s">
        <v>727</v>
      </c>
      <c r="B344" t="s">
        <v>728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1</v>
      </c>
      <c r="L344">
        <v>0.7</v>
      </c>
      <c r="M344">
        <v>1</v>
      </c>
      <c r="N344">
        <v>1</v>
      </c>
      <c r="O344">
        <v>0</v>
      </c>
      <c r="P344">
        <v>4122000</v>
      </c>
      <c r="Q344">
        <v>385.26</v>
      </c>
      <c r="R344">
        <v>550.37</v>
      </c>
      <c r="S344">
        <v>2294.35</v>
      </c>
      <c r="T344">
        <v>15823.12</v>
      </c>
      <c r="U344">
        <v>1</v>
      </c>
      <c r="V344">
        <v>36522.75</v>
      </c>
      <c r="W344">
        <v>59897.31</v>
      </c>
      <c r="X344">
        <v>13732.55</v>
      </c>
      <c r="Y344">
        <v>1434613.62</v>
      </c>
      <c r="Z344">
        <v>385.26</v>
      </c>
      <c r="AA344">
        <v>550.37</v>
      </c>
      <c r="AB344">
        <v>2294.35</v>
      </c>
      <c r="AC344">
        <v>15823.12</v>
      </c>
      <c r="AD344">
        <v>1.1399999999999999</v>
      </c>
      <c r="AE344">
        <v>4.7</v>
      </c>
      <c r="AF344">
        <v>0.16</v>
      </c>
      <c r="AG344">
        <v>2.59</v>
      </c>
      <c r="AH344">
        <v>50362.16</v>
      </c>
      <c r="AI344">
        <v>56337.34</v>
      </c>
      <c r="AJ344">
        <v>17199.96</v>
      </c>
      <c r="AK344">
        <v>1186498.44</v>
      </c>
      <c r="AL344">
        <v>36908.01</v>
      </c>
      <c r="AM344">
        <v>60447.68</v>
      </c>
      <c r="AN344">
        <v>16026.9</v>
      </c>
      <c r="AO344">
        <v>1450436.74</v>
      </c>
      <c r="AP344">
        <v>-86884.21</v>
      </c>
      <c r="AQ344">
        <v>-116233.65</v>
      </c>
      <c r="AR344">
        <v>-30931.51</v>
      </c>
      <c r="AS344">
        <v>-2621112.06</v>
      </c>
      <c r="AT344">
        <v>0.453592</v>
      </c>
      <c r="AU344">
        <v>0.44043783199999997</v>
      </c>
      <c r="AV344">
        <v>0</v>
      </c>
      <c r="AW344">
        <v>15603460.02</v>
      </c>
    </row>
    <row r="345" spans="1:55" x14ac:dyDescent="0.2">
      <c r="A345" t="s">
        <v>729</v>
      </c>
      <c r="B345" t="s">
        <v>730</v>
      </c>
      <c r="C345">
        <v>2755</v>
      </c>
      <c r="D345">
        <v>250</v>
      </c>
      <c r="E345">
        <v>800</v>
      </c>
      <c r="F345">
        <v>885</v>
      </c>
      <c r="G345">
        <v>545</v>
      </c>
      <c r="H345">
        <v>600</v>
      </c>
      <c r="I345">
        <v>5835</v>
      </c>
      <c r="J345">
        <v>98529.04</v>
      </c>
      <c r="K345">
        <v>1254853.29</v>
      </c>
      <c r="L345">
        <v>878397.3</v>
      </c>
      <c r="M345">
        <v>205866.11</v>
      </c>
      <c r="N345">
        <v>556278.32999999996</v>
      </c>
      <c r="O345">
        <v>1358390.7</v>
      </c>
      <c r="P345">
        <v>20196200</v>
      </c>
      <c r="Q345">
        <v>81297.3</v>
      </c>
      <c r="R345">
        <v>7052.18</v>
      </c>
      <c r="S345">
        <v>92484.11</v>
      </c>
      <c r="T345">
        <v>515048.23</v>
      </c>
      <c r="U345">
        <v>85</v>
      </c>
      <c r="V345">
        <v>0</v>
      </c>
      <c r="W345">
        <v>0</v>
      </c>
      <c r="X345">
        <v>0</v>
      </c>
      <c r="Y345">
        <v>0</v>
      </c>
      <c r="Z345">
        <v>81297.3</v>
      </c>
      <c r="AA345">
        <v>7052.18</v>
      </c>
      <c r="AB345">
        <v>92484.11</v>
      </c>
      <c r="AC345">
        <v>515048.23</v>
      </c>
      <c r="AD345">
        <v>10.36</v>
      </c>
      <c r="AE345">
        <v>4.84</v>
      </c>
      <c r="AF345">
        <v>8.4</v>
      </c>
      <c r="AG345">
        <v>4.79</v>
      </c>
      <c r="AH345">
        <v>154807.06</v>
      </c>
      <c r="AI345">
        <v>35491.31</v>
      </c>
      <c r="AJ345">
        <v>168140.65</v>
      </c>
      <c r="AK345">
        <v>5103443.07</v>
      </c>
      <c r="AL345">
        <v>81297.3</v>
      </c>
      <c r="AM345">
        <v>7052.18</v>
      </c>
      <c r="AN345">
        <v>92484.11</v>
      </c>
      <c r="AO345">
        <v>515048.23</v>
      </c>
      <c r="AP345">
        <v>723590.24</v>
      </c>
      <c r="AQ345">
        <v>170374.8</v>
      </c>
      <c r="AR345">
        <v>388137.679999999</v>
      </c>
      <c r="AS345">
        <v>-3745052.37</v>
      </c>
      <c r="AT345">
        <v>38.555320000000002</v>
      </c>
      <c r="AU345">
        <v>37.437215719999998</v>
      </c>
      <c r="AV345">
        <v>41062074.132088996</v>
      </c>
      <c r="AW345">
        <v>76450897.442000002</v>
      </c>
      <c r="AX345">
        <v>1.86183720764011</v>
      </c>
      <c r="AY345">
        <v>1272995.19679999</v>
      </c>
      <c r="AZ345">
        <v>1.01445739270444</v>
      </c>
      <c r="BA345">
        <v>1372800.60975609</v>
      </c>
      <c r="BB345">
        <v>1.09399291590182</v>
      </c>
      <c r="BC345">
        <v>24.386167879025599</v>
      </c>
    </row>
    <row r="346" spans="1:55" x14ac:dyDescent="0.2">
      <c r="A346" t="s">
        <v>731</v>
      </c>
      <c r="B346" t="s">
        <v>732</v>
      </c>
      <c r="C346">
        <v>2500</v>
      </c>
      <c r="D346">
        <v>400</v>
      </c>
      <c r="E346">
        <v>1125</v>
      </c>
      <c r="F346">
        <v>875</v>
      </c>
      <c r="G346">
        <v>500</v>
      </c>
      <c r="H346">
        <v>0</v>
      </c>
      <c r="I346">
        <v>5400</v>
      </c>
      <c r="J346">
        <v>93257.35</v>
      </c>
      <c r="K346">
        <v>1149120.67</v>
      </c>
      <c r="L346">
        <v>804384.47</v>
      </c>
      <c r="M346">
        <v>189552.05</v>
      </c>
      <c r="N346">
        <v>488319.77</v>
      </c>
      <c r="O346">
        <v>1272582</v>
      </c>
      <c r="P346">
        <v>64241910</v>
      </c>
      <c r="Q346">
        <v>279057.55</v>
      </c>
      <c r="R346">
        <v>31012.78</v>
      </c>
      <c r="S346">
        <v>526838.75</v>
      </c>
      <c r="T346">
        <v>3153604.5</v>
      </c>
      <c r="U346">
        <v>75</v>
      </c>
      <c r="V346">
        <v>80119.320000000007</v>
      </c>
      <c r="W346">
        <v>20683.009999999998</v>
      </c>
      <c r="X346">
        <v>67468.759999999995</v>
      </c>
      <c r="Y346">
        <v>1855041.72</v>
      </c>
      <c r="Z346">
        <v>224052.33</v>
      </c>
      <c r="AA346">
        <v>22560.6</v>
      </c>
      <c r="AB346">
        <v>420610.68</v>
      </c>
      <c r="AC346">
        <v>2581363.6</v>
      </c>
      <c r="AD346">
        <v>1.06</v>
      </c>
      <c r="AE346">
        <v>0.73</v>
      </c>
      <c r="AF346">
        <v>1.0900000000000001</v>
      </c>
      <c r="AG346">
        <v>3.35</v>
      </c>
      <c r="AH346">
        <v>97257.03</v>
      </c>
      <c r="AI346">
        <v>16332.36</v>
      </c>
      <c r="AJ346">
        <v>124795.47</v>
      </c>
      <c r="AK346">
        <v>1563476.9</v>
      </c>
      <c r="AL346">
        <v>304171.65000000002</v>
      </c>
      <c r="AM346">
        <v>43243.61</v>
      </c>
      <c r="AN346">
        <v>488079.44</v>
      </c>
      <c r="AO346">
        <v>4436405.32</v>
      </c>
      <c r="AP346">
        <v>682013.34</v>
      </c>
      <c r="AQ346">
        <v>160988.85999999999</v>
      </c>
      <c r="AR346">
        <v>402283.61</v>
      </c>
      <c r="AS346">
        <v>-1573695.72</v>
      </c>
      <c r="AT346">
        <v>34.019399999999997</v>
      </c>
      <c r="AU346">
        <v>33.032837399999998</v>
      </c>
      <c r="AV346">
        <v>34965258.387900002</v>
      </c>
      <c r="AW346">
        <v>243181968.53310001</v>
      </c>
      <c r="AX346">
        <v>6.9549598585907999</v>
      </c>
      <c r="AY346">
        <v>1204884.9620000001</v>
      </c>
      <c r="AZ346">
        <v>1.0485277947354299</v>
      </c>
      <c r="BA346">
        <v>1347829.2682926799</v>
      </c>
      <c r="BB346">
        <v>1.1729223078831901</v>
      </c>
      <c r="BC346">
        <v>24.4472592710997</v>
      </c>
    </row>
    <row r="347" spans="1:55" x14ac:dyDescent="0.2">
      <c r="A347" t="s">
        <v>731</v>
      </c>
      <c r="B347" t="s">
        <v>732</v>
      </c>
      <c r="C347">
        <v>2500</v>
      </c>
      <c r="D347">
        <v>400</v>
      </c>
      <c r="E347">
        <v>1125</v>
      </c>
      <c r="F347">
        <v>875</v>
      </c>
      <c r="G347">
        <v>500</v>
      </c>
      <c r="H347">
        <v>0</v>
      </c>
      <c r="I347">
        <v>5400</v>
      </c>
      <c r="J347">
        <v>93257.35</v>
      </c>
      <c r="K347">
        <v>1149120.67</v>
      </c>
      <c r="L347">
        <v>804384.47</v>
      </c>
      <c r="M347">
        <v>189552.05</v>
      </c>
      <c r="N347">
        <v>488319.77</v>
      </c>
      <c r="O347">
        <v>1272582</v>
      </c>
      <c r="P347">
        <v>64241910</v>
      </c>
      <c r="Q347">
        <v>279057.55</v>
      </c>
      <c r="R347">
        <v>31012.78</v>
      </c>
      <c r="S347">
        <v>526838.75</v>
      </c>
      <c r="T347">
        <v>3153604.5</v>
      </c>
      <c r="U347">
        <v>75</v>
      </c>
      <c r="V347">
        <v>80119.320000000007</v>
      </c>
      <c r="W347">
        <v>20683.009999999998</v>
      </c>
      <c r="X347">
        <v>67468.759999999995</v>
      </c>
      <c r="Y347">
        <v>1855041.72</v>
      </c>
      <c r="Z347">
        <v>224052.33</v>
      </c>
      <c r="AA347">
        <v>22560.6</v>
      </c>
      <c r="AB347">
        <v>420610.68</v>
      </c>
      <c r="AC347">
        <v>2581363.6</v>
      </c>
      <c r="AD347">
        <v>1.06</v>
      </c>
      <c r="AE347">
        <v>0.73</v>
      </c>
      <c r="AF347">
        <v>1.0900000000000001</v>
      </c>
      <c r="AG347">
        <v>3.35</v>
      </c>
      <c r="AH347">
        <v>97257.03</v>
      </c>
      <c r="AI347">
        <v>16332.36</v>
      </c>
      <c r="AJ347">
        <v>124795.47</v>
      </c>
      <c r="AK347">
        <v>1563476.9</v>
      </c>
      <c r="AL347">
        <v>304171.65000000002</v>
      </c>
      <c r="AM347">
        <v>43243.61</v>
      </c>
      <c r="AN347">
        <v>488079.44</v>
      </c>
      <c r="AO347">
        <v>4436405.32</v>
      </c>
      <c r="AP347">
        <v>682013.34</v>
      </c>
      <c r="AQ347">
        <v>160988.85999999999</v>
      </c>
      <c r="AR347">
        <v>402283.61</v>
      </c>
      <c r="AS347">
        <v>-1573695.72</v>
      </c>
      <c r="AT347">
        <v>34.019399999999997</v>
      </c>
      <c r="AU347">
        <v>33.032837399999998</v>
      </c>
      <c r="AV347">
        <v>34965258.387900002</v>
      </c>
      <c r="AW347">
        <v>243181968.53310001</v>
      </c>
      <c r="AX347">
        <v>6.9549598585907999</v>
      </c>
      <c r="AY347">
        <v>1204884.9620000001</v>
      </c>
      <c r="AZ347">
        <v>1.0485277947354299</v>
      </c>
      <c r="BA347">
        <v>1347829.2682926799</v>
      </c>
      <c r="BB347">
        <v>1.1729223078831901</v>
      </c>
      <c r="BC347">
        <v>24.4472592710997</v>
      </c>
    </row>
    <row r="348" spans="1:55" x14ac:dyDescent="0.2">
      <c r="A348" t="s">
        <v>733</v>
      </c>
      <c r="B348" t="s">
        <v>734</v>
      </c>
      <c r="C348">
        <v>715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716</v>
      </c>
      <c r="J348">
        <v>18828.400000000001</v>
      </c>
      <c r="K348">
        <v>246137.47</v>
      </c>
      <c r="L348">
        <v>172296.23</v>
      </c>
      <c r="M348">
        <v>41742.959999999999</v>
      </c>
      <c r="N348">
        <v>139659.46</v>
      </c>
      <c r="O348">
        <v>337810.68</v>
      </c>
      <c r="P348">
        <v>15345000</v>
      </c>
      <c r="Q348">
        <v>53513.81</v>
      </c>
      <c r="R348">
        <v>5971.56</v>
      </c>
      <c r="S348">
        <v>143542.93</v>
      </c>
      <c r="T348">
        <v>1094895.71</v>
      </c>
      <c r="U348">
        <v>75</v>
      </c>
      <c r="V348">
        <v>4925.38</v>
      </c>
      <c r="W348">
        <v>1609.39</v>
      </c>
      <c r="X348">
        <v>2957.11</v>
      </c>
      <c r="Y348">
        <v>72599.520000000004</v>
      </c>
      <c r="Z348">
        <v>53513.81</v>
      </c>
      <c r="AA348">
        <v>5971.56</v>
      </c>
      <c r="AB348">
        <v>143542.93</v>
      </c>
      <c r="AC348">
        <v>1094895.71</v>
      </c>
      <c r="AD348">
        <v>1.18</v>
      </c>
      <c r="AE348">
        <v>0.89</v>
      </c>
      <c r="AF348">
        <v>1.4</v>
      </c>
      <c r="AG348">
        <v>4.2</v>
      </c>
      <c r="AH348">
        <v>45543.3</v>
      </c>
      <c r="AI348">
        <v>18404.150000000001</v>
      </c>
      <c r="AJ348">
        <v>24714.19</v>
      </c>
      <c r="AK348">
        <v>626275.66</v>
      </c>
      <c r="AL348">
        <v>58439.1899999999</v>
      </c>
      <c r="AM348">
        <v>7580.95</v>
      </c>
      <c r="AN348">
        <v>146500.03999999899</v>
      </c>
      <c r="AO348">
        <v>1167495.23</v>
      </c>
      <c r="AP348">
        <v>121827.55</v>
      </c>
      <c r="AQ348">
        <v>21729.4199999999</v>
      </c>
      <c r="AR348">
        <v>111988.16</v>
      </c>
      <c r="AS348">
        <v>-361064.5</v>
      </c>
      <c r="AT348">
        <v>34.019399999999997</v>
      </c>
      <c r="AU348">
        <v>33.032837399999998</v>
      </c>
      <c r="AV348">
        <v>8632801.7261159997</v>
      </c>
      <c r="AW348">
        <v>58087116.450000003</v>
      </c>
      <c r="AX348">
        <v>6.72865175094599</v>
      </c>
      <c r="AY348">
        <v>243262.92800000001</v>
      </c>
      <c r="AZ348">
        <v>0.98832139616938397</v>
      </c>
      <c r="BA348">
        <v>261340</v>
      </c>
      <c r="BB348">
        <v>1.06176438719387</v>
      </c>
      <c r="BC348">
        <v>26.296648044692699</v>
      </c>
    </row>
    <row r="349" spans="1:55" x14ac:dyDescent="0.2">
      <c r="A349" t="s">
        <v>735</v>
      </c>
      <c r="B349" t="s">
        <v>736</v>
      </c>
      <c r="C349">
        <v>1400</v>
      </c>
      <c r="D349">
        <v>60</v>
      </c>
      <c r="E349">
        <v>0</v>
      </c>
      <c r="F349">
        <v>0</v>
      </c>
      <c r="G349">
        <v>0</v>
      </c>
      <c r="H349">
        <v>0</v>
      </c>
      <c r="I349">
        <v>1460</v>
      </c>
      <c r="J349">
        <v>39541.699999999997</v>
      </c>
      <c r="K349">
        <v>516264.6</v>
      </c>
      <c r="L349">
        <v>361385.22</v>
      </c>
      <c r="M349">
        <v>87493.47</v>
      </c>
      <c r="N349">
        <v>283604.59000000003</v>
      </c>
      <c r="O349">
        <v>674830.8</v>
      </c>
      <c r="P349">
        <v>34956800</v>
      </c>
      <c r="Q349">
        <v>121001.34</v>
      </c>
      <c r="R349">
        <v>36976.629999999997</v>
      </c>
      <c r="S349">
        <v>133478.19</v>
      </c>
      <c r="T349">
        <v>1140058.1200000001</v>
      </c>
      <c r="U349">
        <v>86</v>
      </c>
      <c r="V349">
        <v>22845.89</v>
      </c>
      <c r="W349">
        <v>10026.81</v>
      </c>
      <c r="X349">
        <v>13270.36</v>
      </c>
      <c r="Y349">
        <v>1013962.56</v>
      </c>
      <c r="Z349">
        <v>121001.34</v>
      </c>
      <c r="AA349">
        <v>36976.629999999997</v>
      </c>
      <c r="AB349">
        <v>133478.19</v>
      </c>
      <c r="AC349">
        <v>1140058.1200000001</v>
      </c>
      <c r="AD349">
        <v>1.02</v>
      </c>
      <c r="AE349">
        <v>2.12</v>
      </c>
      <c r="AF349">
        <v>0.77</v>
      </c>
      <c r="AG349">
        <v>3.25</v>
      </c>
      <c r="AH349">
        <v>0</v>
      </c>
      <c r="AI349">
        <v>0</v>
      </c>
      <c r="AJ349">
        <v>0</v>
      </c>
      <c r="AK349">
        <v>0</v>
      </c>
      <c r="AL349">
        <v>143847.22999999899</v>
      </c>
      <c r="AM349">
        <v>47003.4399999999</v>
      </c>
      <c r="AN349">
        <v>146748.54999999999</v>
      </c>
      <c r="AO349">
        <v>2154020.6800000002</v>
      </c>
      <c r="AP349">
        <v>338539.32999999903</v>
      </c>
      <c r="AQ349">
        <v>77466.66</v>
      </c>
      <c r="AR349">
        <v>270334.23</v>
      </c>
      <c r="AS349">
        <v>-339131.76</v>
      </c>
      <c r="AT349">
        <v>39.008912000000002</v>
      </c>
      <c r="AU349">
        <v>37.877653551999998</v>
      </c>
      <c r="AV349">
        <v>20185001.577860799</v>
      </c>
      <c r="AW349">
        <v>132325820.288</v>
      </c>
      <c r="AX349">
        <v>6.5556507279710496</v>
      </c>
      <c r="AY349">
        <v>510878.76399999898</v>
      </c>
      <c r="AZ349">
        <v>0.98956768292848196</v>
      </c>
      <c r="BA349">
        <v>532900</v>
      </c>
      <c r="BB349">
        <v>1.03222262382506</v>
      </c>
      <c r="BC349">
        <v>27.083356164383499</v>
      </c>
    </row>
    <row r="350" spans="1:55" x14ac:dyDescent="0.2">
      <c r="A350" t="s">
        <v>737</v>
      </c>
      <c r="B350" t="s">
        <v>738</v>
      </c>
      <c r="C350">
        <v>864</v>
      </c>
      <c r="D350">
        <v>125</v>
      </c>
      <c r="E350">
        <v>0</v>
      </c>
      <c r="F350">
        <v>300</v>
      </c>
      <c r="G350">
        <v>0</v>
      </c>
      <c r="H350">
        <v>0</v>
      </c>
      <c r="I350">
        <v>1289</v>
      </c>
      <c r="J350">
        <v>27464.04</v>
      </c>
      <c r="K350">
        <v>348632.32000000001</v>
      </c>
      <c r="L350">
        <v>244042.62</v>
      </c>
      <c r="M350">
        <v>58263.35</v>
      </c>
      <c r="N350">
        <v>168763.31</v>
      </c>
      <c r="O350">
        <v>436751.46</v>
      </c>
      <c r="P350">
        <v>27756000</v>
      </c>
      <c r="Q350">
        <v>110950.51</v>
      </c>
      <c r="R350">
        <v>9959.8700000000008</v>
      </c>
      <c r="S350">
        <v>208569.59</v>
      </c>
      <c r="T350">
        <v>1909932.17</v>
      </c>
      <c r="U350">
        <v>75</v>
      </c>
      <c r="V350">
        <v>51858.74</v>
      </c>
      <c r="W350">
        <v>17596.8</v>
      </c>
      <c r="X350">
        <v>61372.65</v>
      </c>
      <c r="Y350">
        <v>1385260.96</v>
      </c>
      <c r="Z350">
        <v>110950.51</v>
      </c>
      <c r="AA350">
        <v>9959.8700000000008</v>
      </c>
      <c r="AB350">
        <v>208569.59</v>
      </c>
      <c r="AC350">
        <v>1909932.17</v>
      </c>
      <c r="AD350">
        <v>1.36</v>
      </c>
      <c r="AE350">
        <v>0.88</v>
      </c>
      <c r="AF350">
        <v>1.29</v>
      </c>
      <c r="AG350">
        <v>4.75</v>
      </c>
      <c r="AH350">
        <v>0</v>
      </c>
      <c r="AI350">
        <v>0</v>
      </c>
      <c r="AJ350">
        <v>0</v>
      </c>
      <c r="AK350">
        <v>0</v>
      </c>
      <c r="AL350">
        <v>162809.25</v>
      </c>
      <c r="AM350">
        <v>27556.67</v>
      </c>
      <c r="AN350">
        <v>269942.24</v>
      </c>
      <c r="AO350">
        <v>3295193.13</v>
      </c>
      <c r="AP350">
        <v>192183.88</v>
      </c>
      <c r="AQ350">
        <v>40666.550000000003</v>
      </c>
      <c r="AR350">
        <v>107390.66</v>
      </c>
      <c r="AS350">
        <v>-948509.5</v>
      </c>
      <c r="AT350">
        <v>34.019399999999997</v>
      </c>
      <c r="AU350">
        <v>33.032837399999998</v>
      </c>
      <c r="AV350">
        <v>11924358.8088389</v>
      </c>
      <c r="AW350">
        <v>105067839.95999999</v>
      </c>
      <c r="AX350">
        <v>8.8111940980942194</v>
      </c>
      <c r="AY350">
        <v>354835.39679999999</v>
      </c>
      <c r="AZ350">
        <v>1.0177926039674099</v>
      </c>
      <c r="BA350">
        <v>401045.97560975602</v>
      </c>
      <c r="BB350">
        <v>1.1503407819726901</v>
      </c>
      <c r="BC350">
        <v>24.995574596550401</v>
      </c>
    </row>
    <row r="351" spans="1:55" x14ac:dyDescent="0.2">
      <c r="A351" t="s">
        <v>739</v>
      </c>
      <c r="B351" t="s">
        <v>740</v>
      </c>
      <c r="C351">
        <v>325</v>
      </c>
      <c r="D351">
        <v>45</v>
      </c>
      <c r="E351">
        <v>20</v>
      </c>
      <c r="F351">
        <v>0</v>
      </c>
      <c r="G351">
        <v>0</v>
      </c>
      <c r="H351">
        <v>0</v>
      </c>
      <c r="I351">
        <v>390</v>
      </c>
      <c r="J351">
        <v>9382.42</v>
      </c>
      <c r="K351">
        <v>121435.62</v>
      </c>
      <c r="L351">
        <v>85004.93</v>
      </c>
      <c r="M351">
        <v>20280.25</v>
      </c>
      <c r="N351">
        <v>63267.46</v>
      </c>
      <c r="O351">
        <v>163821.6</v>
      </c>
      <c r="P351">
        <v>11799000</v>
      </c>
      <c r="Q351">
        <v>25353.040000000001</v>
      </c>
      <c r="R351">
        <v>2211.44</v>
      </c>
      <c r="S351">
        <v>122943.88</v>
      </c>
      <c r="T351">
        <v>608520.24</v>
      </c>
      <c r="U351">
        <v>74</v>
      </c>
      <c r="V351">
        <v>14488.14</v>
      </c>
      <c r="W351">
        <v>4797.7700000000004</v>
      </c>
      <c r="X351">
        <v>15994.9</v>
      </c>
      <c r="Y351">
        <v>310360.64</v>
      </c>
      <c r="Z351">
        <v>25353.040000000001</v>
      </c>
      <c r="AA351">
        <v>2211.44</v>
      </c>
      <c r="AB351">
        <v>122943.88</v>
      </c>
      <c r="AC351">
        <v>608520.24</v>
      </c>
      <c r="AD351">
        <v>1.1599999999999999</v>
      </c>
      <c r="AE351">
        <v>1.1100000000000001</v>
      </c>
      <c r="AF351">
        <v>3.01</v>
      </c>
      <c r="AG351">
        <v>7.34</v>
      </c>
      <c r="AH351">
        <v>0</v>
      </c>
      <c r="AI351">
        <v>0</v>
      </c>
      <c r="AJ351">
        <v>0</v>
      </c>
      <c r="AK351">
        <v>0</v>
      </c>
      <c r="AL351">
        <v>39841.18</v>
      </c>
      <c r="AM351">
        <v>7009.21</v>
      </c>
      <c r="AN351">
        <v>138938.78</v>
      </c>
      <c r="AO351">
        <v>918880.88</v>
      </c>
      <c r="AP351">
        <v>70516.789999999994</v>
      </c>
      <c r="AQ351">
        <v>15482.4799999999</v>
      </c>
      <c r="AR351">
        <v>47272.56</v>
      </c>
      <c r="AS351">
        <v>-146539.04</v>
      </c>
      <c r="AT351">
        <v>33.565807999999997</v>
      </c>
      <c r="AU351">
        <v>32.592399567999998</v>
      </c>
      <c r="AV351">
        <v>4401603.5616583899</v>
      </c>
      <c r="AW351">
        <v>44664052.590000004</v>
      </c>
      <c r="AX351">
        <v>10.1472229300841</v>
      </c>
      <c r="AY351">
        <v>121220.8664</v>
      </c>
      <c r="AZ351">
        <v>0.99823154359486899</v>
      </c>
      <c r="BA351">
        <v>137720.731707317</v>
      </c>
      <c r="BB351">
        <v>1.13410490025346</v>
      </c>
      <c r="BC351">
        <v>24.866142210730398</v>
      </c>
    </row>
    <row r="352" spans="1:55" x14ac:dyDescent="0.2">
      <c r="A352" t="s">
        <v>741</v>
      </c>
      <c r="B352" t="s">
        <v>742</v>
      </c>
      <c r="C352">
        <v>110</v>
      </c>
      <c r="D352">
        <v>12</v>
      </c>
      <c r="E352">
        <v>30</v>
      </c>
      <c r="F352">
        <v>0</v>
      </c>
      <c r="G352">
        <v>30</v>
      </c>
      <c r="H352">
        <v>30</v>
      </c>
      <c r="I352">
        <v>212</v>
      </c>
      <c r="J352">
        <v>3388.38</v>
      </c>
      <c r="K352">
        <v>43425.55</v>
      </c>
      <c r="L352">
        <v>30397.89</v>
      </c>
      <c r="M352">
        <v>6941.86</v>
      </c>
      <c r="N352">
        <v>20399.05</v>
      </c>
      <c r="O352">
        <v>54702.36</v>
      </c>
      <c r="P352">
        <v>7038500</v>
      </c>
      <c r="Q352">
        <v>13300.79</v>
      </c>
      <c r="R352">
        <v>1841.31</v>
      </c>
      <c r="S352">
        <v>24127.64</v>
      </c>
      <c r="T352">
        <v>124398.08</v>
      </c>
      <c r="U352">
        <v>60</v>
      </c>
      <c r="V352">
        <v>16783.8</v>
      </c>
      <c r="W352">
        <v>4260.1499999999996</v>
      </c>
      <c r="X352">
        <v>16831.18</v>
      </c>
      <c r="Y352">
        <v>121377.31</v>
      </c>
      <c r="Z352">
        <v>13300.79</v>
      </c>
      <c r="AA352">
        <v>1841.31</v>
      </c>
      <c r="AB352">
        <v>24127.64</v>
      </c>
      <c r="AC352">
        <v>124398.08</v>
      </c>
      <c r="AD352">
        <v>1.07</v>
      </c>
      <c r="AE352">
        <v>1.48</v>
      </c>
      <c r="AF352">
        <v>1.1000000000000001</v>
      </c>
      <c r="AG352">
        <v>1.87</v>
      </c>
      <c r="AH352">
        <v>400.78</v>
      </c>
      <c r="AI352">
        <v>154.15</v>
      </c>
      <c r="AJ352">
        <v>493.27</v>
      </c>
      <c r="AK352">
        <v>3727.58</v>
      </c>
      <c r="AL352">
        <v>30084.59</v>
      </c>
      <c r="AM352">
        <v>6101.45999999999</v>
      </c>
      <c r="AN352">
        <v>40958.82</v>
      </c>
      <c r="AO352">
        <v>245775.39</v>
      </c>
      <c r="AP352">
        <v>13213.31</v>
      </c>
      <c r="AQ352">
        <v>2527.56</v>
      </c>
      <c r="AR352">
        <v>3074.6</v>
      </c>
      <c r="AS352">
        <v>-70402.53</v>
      </c>
      <c r="AT352">
        <v>27.215519999999898</v>
      </c>
      <c r="AU352">
        <v>26.4262699199999</v>
      </c>
      <c r="AV352">
        <v>1176761.79953759</v>
      </c>
      <c r="AW352">
        <v>26643608.285</v>
      </c>
      <c r="AX352">
        <v>22.641462609909102</v>
      </c>
      <c r="AY352">
        <v>43777.869599999998</v>
      </c>
      <c r="AZ352">
        <v>1.0081131868220401</v>
      </c>
      <c r="BA352">
        <v>51206.829268292597</v>
      </c>
      <c r="BB352">
        <v>1.17918666011812</v>
      </c>
      <c r="BC352">
        <v>21.870840680100699</v>
      </c>
    </row>
    <row r="353" spans="1:55" x14ac:dyDescent="0.2">
      <c r="A353" t="s">
        <v>743</v>
      </c>
      <c r="B353" t="s">
        <v>744</v>
      </c>
      <c r="C353">
        <v>0</v>
      </c>
      <c r="D353">
        <v>0</v>
      </c>
      <c r="E353">
        <v>0</v>
      </c>
      <c r="F353">
        <v>0</v>
      </c>
      <c r="G353">
        <v>900</v>
      </c>
      <c r="H353">
        <v>4100</v>
      </c>
      <c r="I353">
        <v>5000</v>
      </c>
      <c r="J353">
        <v>17385</v>
      </c>
      <c r="K353">
        <v>256200</v>
      </c>
      <c r="L353">
        <v>179340</v>
      </c>
      <c r="M353">
        <v>18117</v>
      </c>
      <c r="N353">
        <v>1</v>
      </c>
      <c r="O353">
        <v>0</v>
      </c>
      <c r="P353">
        <v>7854000</v>
      </c>
      <c r="Q353">
        <v>22991.79</v>
      </c>
      <c r="R353">
        <v>2912.15</v>
      </c>
      <c r="S353">
        <v>59427.68</v>
      </c>
      <c r="T353">
        <v>514792.7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22991.79</v>
      </c>
      <c r="AA353">
        <v>2912.15</v>
      </c>
      <c r="AB353">
        <v>59427.68</v>
      </c>
      <c r="AC353">
        <v>514792.7</v>
      </c>
      <c r="AD353">
        <v>1.51</v>
      </c>
      <c r="AE353">
        <v>0.8</v>
      </c>
      <c r="AF353">
        <v>2.29</v>
      </c>
      <c r="AG353">
        <v>5.84</v>
      </c>
      <c r="AH353">
        <v>19032.05</v>
      </c>
      <c r="AI353">
        <v>6263.71</v>
      </c>
      <c r="AJ353">
        <v>12366.82</v>
      </c>
      <c r="AK353">
        <v>428020.32</v>
      </c>
      <c r="AL353">
        <v>22991.79</v>
      </c>
      <c r="AM353">
        <v>2912.15</v>
      </c>
      <c r="AN353">
        <v>59427.68</v>
      </c>
      <c r="AO353">
        <v>514792.7</v>
      </c>
      <c r="AP353">
        <v>160307.95000000001</v>
      </c>
      <c r="AQ353">
        <v>11853.29</v>
      </c>
      <c r="AR353">
        <v>-12365.82</v>
      </c>
      <c r="AS353">
        <v>-428020.32</v>
      </c>
      <c r="AT353">
        <v>0.453592</v>
      </c>
      <c r="AU353">
        <v>0.44043783199999997</v>
      </c>
      <c r="AV353">
        <v>0</v>
      </c>
      <c r="AW353">
        <v>29730610.140000001</v>
      </c>
      <c r="AY353">
        <v>224614.2</v>
      </c>
      <c r="AZ353">
        <v>0.876714285714285</v>
      </c>
      <c r="BA353">
        <v>222560.97560975599</v>
      </c>
      <c r="BB353">
        <v>0.86870013899202203</v>
      </c>
      <c r="BC353">
        <v>9.5037999999999894</v>
      </c>
    </row>
    <row r="354" spans="1:55" x14ac:dyDescent="0.2">
      <c r="A354" t="s">
        <v>745</v>
      </c>
      <c r="B354" t="s">
        <v>746</v>
      </c>
      <c r="C354">
        <v>300</v>
      </c>
      <c r="D354">
        <v>45</v>
      </c>
      <c r="E354">
        <v>300</v>
      </c>
      <c r="F354">
        <v>150</v>
      </c>
      <c r="G354">
        <v>150</v>
      </c>
      <c r="H354">
        <v>100</v>
      </c>
      <c r="I354">
        <v>1045</v>
      </c>
      <c r="J354">
        <v>12765.17</v>
      </c>
      <c r="K354">
        <v>156447.9</v>
      </c>
      <c r="L354">
        <v>109513.53</v>
      </c>
      <c r="M354">
        <v>24791.93</v>
      </c>
      <c r="N354">
        <v>54052.65</v>
      </c>
      <c r="O354">
        <v>152018.1</v>
      </c>
      <c r="P354">
        <v>5400000</v>
      </c>
      <c r="Q354">
        <v>24732.38</v>
      </c>
      <c r="R354">
        <v>2253.33</v>
      </c>
      <c r="S354">
        <v>34419.120000000003</v>
      </c>
      <c r="T354">
        <v>220592.4</v>
      </c>
      <c r="U354">
        <v>52</v>
      </c>
      <c r="V354">
        <v>0</v>
      </c>
      <c r="W354">
        <v>0</v>
      </c>
      <c r="X354">
        <v>0</v>
      </c>
      <c r="Y354">
        <v>0</v>
      </c>
      <c r="Z354">
        <v>24732.38</v>
      </c>
      <c r="AA354">
        <v>2253.33</v>
      </c>
      <c r="AB354">
        <v>34419.120000000003</v>
      </c>
      <c r="AC354">
        <v>220592.4</v>
      </c>
      <c r="AD354">
        <v>1.1200000000000001</v>
      </c>
      <c r="AE354">
        <v>0.59</v>
      </c>
      <c r="AF354">
        <v>1.38</v>
      </c>
      <c r="AG354">
        <v>1.56</v>
      </c>
      <c r="AH354">
        <v>843401.6</v>
      </c>
      <c r="AI354">
        <v>126979.84</v>
      </c>
      <c r="AJ354">
        <v>388828.8</v>
      </c>
      <c r="AK354">
        <v>0</v>
      </c>
      <c r="AL354">
        <v>24732.38</v>
      </c>
      <c r="AM354">
        <v>2253.33</v>
      </c>
      <c r="AN354">
        <v>34419.120000000003</v>
      </c>
      <c r="AO354">
        <v>220592.4</v>
      </c>
      <c r="AP354">
        <v>-733888.07</v>
      </c>
      <c r="AQ354">
        <v>-102187.91</v>
      </c>
      <c r="AR354">
        <v>-334776.14999999898</v>
      </c>
      <c r="AS354">
        <v>152018.1</v>
      </c>
      <c r="AT354">
        <v>23.586784000000002</v>
      </c>
      <c r="AU354">
        <v>22.902767264000001</v>
      </c>
      <c r="AV354">
        <v>2884030.9677192001</v>
      </c>
      <c r="AW354">
        <v>20441214</v>
      </c>
      <c r="AX354">
        <v>7.08772347759</v>
      </c>
      <c r="AY354">
        <v>164925.9964</v>
      </c>
      <c r="AZ354">
        <v>1.05419118057832</v>
      </c>
      <c r="BA354">
        <v>197144.512195121</v>
      </c>
      <c r="BB354">
        <v>1.2601288492534699</v>
      </c>
      <c r="BC354">
        <v>21.236436193954098</v>
      </c>
    </row>
    <row r="355" spans="1:55" x14ac:dyDescent="0.2">
      <c r="A355" t="s">
        <v>747</v>
      </c>
      <c r="B355" t="s">
        <v>748</v>
      </c>
      <c r="C355">
        <v>1500</v>
      </c>
      <c r="D355">
        <v>227</v>
      </c>
      <c r="E355">
        <v>200</v>
      </c>
      <c r="F355">
        <v>0</v>
      </c>
      <c r="G355">
        <v>0</v>
      </c>
      <c r="H355">
        <v>0</v>
      </c>
      <c r="I355">
        <v>1927</v>
      </c>
      <c r="J355">
        <v>45202.3</v>
      </c>
      <c r="K355">
        <v>581177.4</v>
      </c>
      <c r="L355">
        <v>406824.18</v>
      </c>
      <c r="M355">
        <v>97074.94</v>
      </c>
      <c r="N355">
        <v>294968.26</v>
      </c>
      <c r="O355">
        <v>760551.66</v>
      </c>
      <c r="P355">
        <v>44196000</v>
      </c>
      <c r="Q355">
        <v>171564.25</v>
      </c>
      <c r="R355">
        <v>18065.59</v>
      </c>
      <c r="S355">
        <v>201143.11</v>
      </c>
      <c r="T355">
        <v>717102.54</v>
      </c>
      <c r="U355">
        <v>77</v>
      </c>
      <c r="V355">
        <v>20970.98</v>
      </c>
      <c r="W355">
        <v>2412.79</v>
      </c>
      <c r="X355">
        <v>25255.37</v>
      </c>
      <c r="Y355">
        <v>385595.42</v>
      </c>
      <c r="Z355">
        <v>171564.25</v>
      </c>
      <c r="AA355">
        <v>18065.59</v>
      </c>
      <c r="AB355">
        <v>201143.11</v>
      </c>
      <c r="AC355">
        <v>717102.54</v>
      </c>
      <c r="AD355">
        <v>3.55</v>
      </c>
      <c r="AE355">
        <v>2.08</v>
      </c>
      <c r="AF355">
        <v>2.77</v>
      </c>
      <c r="AG355">
        <v>3.35</v>
      </c>
      <c r="AH355">
        <v>0</v>
      </c>
      <c r="AI355">
        <v>0</v>
      </c>
      <c r="AJ355">
        <v>0</v>
      </c>
      <c r="AK355">
        <v>0</v>
      </c>
      <c r="AL355">
        <v>192535.23</v>
      </c>
      <c r="AM355">
        <v>20478.38</v>
      </c>
      <c r="AN355">
        <v>226398.47999999899</v>
      </c>
      <c r="AO355">
        <v>1102697.96</v>
      </c>
      <c r="AP355">
        <v>385853.19999999902</v>
      </c>
      <c r="AQ355">
        <v>94662.15</v>
      </c>
      <c r="AR355">
        <v>269712.89</v>
      </c>
      <c r="AS355">
        <v>374956.24</v>
      </c>
      <c r="AT355">
        <v>34.926583999999998</v>
      </c>
      <c r="AU355">
        <v>33.913713064</v>
      </c>
      <c r="AV355">
        <v>21377678.598457702</v>
      </c>
      <c r="AW355">
        <v>167299980.36000001</v>
      </c>
      <c r="AX355">
        <v>7.8259189644693103</v>
      </c>
      <c r="AY355">
        <v>584013.71600000001</v>
      </c>
      <c r="AZ355">
        <v>1.0048802930051901</v>
      </c>
      <c r="BA355">
        <v>657062.31707316998</v>
      </c>
      <c r="BB355">
        <v>1.1305710047795501</v>
      </c>
      <c r="BC355">
        <v>25.110007180890701</v>
      </c>
    </row>
    <row r="356" spans="1:55" x14ac:dyDescent="0.2">
      <c r="A356" t="s">
        <v>749</v>
      </c>
      <c r="B356" t="s">
        <v>750</v>
      </c>
      <c r="C356">
        <v>400</v>
      </c>
      <c r="D356">
        <v>70</v>
      </c>
      <c r="E356">
        <v>120</v>
      </c>
      <c r="F356">
        <v>120</v>
      </c>
      <c r="G356">
        <v>50</v>
      </c>
      <c r="H356">
        <v>0</v>
      </c>
      <c r="I356">
        <v>760</v>
      </c>
      <c r="J356">
        <v>13979.96</v>
      </c>
      <c r="K356">
        <v>173960.91</v>
      </c>
      <c r="L356">
        <v>121772.64</v>
      </c>
      <c r="M356">
        <v>28736.74</v>
      </c>
      <c r="N356">
        <v>77340.600000000006</v>
      </c>
      <c r="O356">
        <v>204996.6</v>
      </c>
      <c r="P356">
        <v>12219910</v>
      </c>
      <c r="Q356">
        <v>46063.51</v>
      </c>
      <c r="R356">
        <v>6424.2</v>
      </c>
      <c r="S356">
        <v>86762.43</v>
      </c>
      <c r="T356">
        <v>654380.94999999995</v>
      </c>
      <c r="U356">
        <v>72</v>
      </c>
      <c r="V356">
        <v>23991.97</v>
      </c>
      <c r="W356">
        <v>13244.79</v>
      </c>
      <c r="X356">
        <v>72921.42</v>
      </c>
      <c r="Y356">
        <v>412566.96</v>
      </c>
      <c r="Z356">
        <v>43219.83</v>
      </c>
      <c r="AA356">
        <v>6357.35</v>
      </c>
      <c r="AB356">
        <v>85866.2</v>
      </c>
      <c r="AC356">
        <v>649663.93999999994</v>
      </c>
      <c r="AD356">
        <v>1.01</v>
      </c>
      <c r="AE356">
        <v>1.1299999999999999</v>
      </c>
      <c r="AF356">
        <v>1.06</v>
      </c>
      <c r="AG356">
        <v>2.16</v>
      </c>
      <c r="AH356">
        <v>43175.199999999997</v>
      </c>
      <c r="AI356">
        <v>4324.0600000000004</v>
      </c>
      <c r="AJ356">
        <v>11352.55</v>
      </c>
      <c r="AK356">
        <v>122350.61</v>
      </c>
      <c r="AL356">
        <v>67211.8</v>
      </c>
      <c r="AM356">
        <v>19602.14</v>
      </c>
      <c r="AN356">
        <v>158787.62</v>
      </c>
      <c r="AO356">
        <v>1062230.8999999999</v>
      </c>
      <c r="AP356">
        <v>57449.1499999999</v>
      </c>
      <c r="AQ356">
        <v>11234.74</v>
      </c>
      <c r="AR356">
        <v>-6037.1399999999903</v>
      </c>
      <c r="AS356">
        <v>-325203.95999999897</v>
      </c>
      <c r="AT356">
        <v>32.658624000000003</v>
      </c>
      <c r="AU356">
        <v>31.711523904</v>
      </c>
      <c r="AV356">
        <v>5440111.9257311998</v>
      </c>
      <c r="AW356">
        <v>46257369.513099998</v>
      </c>
      <c r="AX356">
        <v>8.5030179791535403</v>
      </c>
      <c r="AY356">
        <v>180621.08319999999</v>
      </c>
      <c r="AZ356">
        <v>1.0382854584975401</v>
      </c>
      <c r="BA356">
        <v>205824.39024390199</v>
      </c>
      <c r="BB356">
        <v>1.18316459855206</v>
      </c>
      <c r="BC356">
        <v>24.266653683319198</v>
      </c>
    </row>
    <row r="357" spans="1:55" x14ac:dyDescent="0.2">
      <c r="A357" t="s">
        <v>751</v>
      </c>
      <c r="B357" t="s">
        <v>752</v>
      </c>
      <c r="C357">
        <v>2175</v>
      </c>
      <c r="D357">
        <v>350</v>
      </c>
      <c r="E357">
        <v>950</v>
      </c>
      <c r="F357">
        <v>950</v>
      </c>
      <c r="G357">
        <v>310</v>
      </c>
      <c r="H357">
        <v>310</v>
      </c>
      <c r="I357">
        <v>5045</v>
      </c>
      <c r="J357">
        <v>82329.570000000007</v>
      </c>
      <c r="K357">
        <v>1014766.2</v>
      </c>
      <c r="L357">
        <v>710336.34</v>
      </c>
      <c r="M357">
        <v>166359.51999999999</v>
      </c>
      <c r="N357">
        <v>420539.53</v>
      </c>
      <c r="O357">
        <v>1107607.5</v>
      </c>
      <c r="P357">
        <v>52080000</v>
      </c>
      <c r="Q357">
        <v>193700.8</v>
      </c>
      <c r="R357">
        <v>18654.73</v>
      </c>
      <c r="S357">
        <v>287911.01</v>
      </c>
      <c r="T357">
        <v>2667579.39</v>
      </c>
      <c r="U357">
        <v>72</v>
      </c>
      <c r="V357">
        <v>48201.29</v>
      </c>
      <c r="W357">
        <v>8531.2800000000007</v>
      </c>
      <c r="X357">
        <v>14670.07</v>
      </c>
      <c r="Y357">
        <v>1210474.02</v>
      </c>
      <c r="Z357">
        <v>193700.8</v>
      </c>
      <c r="AA357">
        <v>18654.73</v>
      </c>
      <c r="AB357">
        <v>287911.01</v>
      </c>
      <c r="AC357">
        <v>2667579.39</v>
      </c>
      <c r="AD357">
        <v>1.25</v>
      </c>
      <c r="AE357">
        <v>0.56999999999999995</v>
      </c>
      <c r="AF357">
        <v>0.7</v>
      </c>
      <c r="AG357">
        <v>4.88</v>
      </c>
      <c r="AH357">
        <v>83039.92</v>
      </c>
      <c r="AI357">
        <v>18451.22</v>
      </c>
      <c r="AJ357">
        <v>43190.8</v>
      </c>
      <c r="AK357">
        <v>2209457.3199999998</v>
      </c>
      <c r="AL357">
        <v>241902.09</v>
      </c>
      <c r="AM357">
        <v>27186.01</v>
      </c>
      <c r="AN357">
        <v>302581.08</v>
      </c>
      <c r="AO357">
        <v>3878053.41</v>
      </c>
      <c r="AP357">
        <v>579095.12999999896</v>
      </c>
      <c r="AQ357">
        <v>139377.01999999999</v>
      </c>
      <c r="AR357">
        <v>362678.66</v>
      </c>
      <c r="AS357">
        <v>-2312323.84</v>
      </c>
      <c r="AT357">
        <v>32.658624000000003</v>
      </c>
      <c r="AU357">
        <v>31.711523904</v>
      </c>
      <c r="AV357">
        <v>29226133.218024001</v>
      </c>
      <c r="AW357">
        <v>197144152.80000001</v>
      </c>
      <c r="AX357">
        <v>6.7454750626545197</v>
      </c>
      <c r="AY357">
        <v>1063698.0444</v>
      </c>
      <c r="AZ357">
        <v>1.0482198208808999</v>
      </c>
      <c r="BA357">
        <v>1202942.0731707299</v>
      </c>
      <c r="BB357">
        <v>1.1854376635433099</v>
      </c>
      <c r="BC357">
        <v>23.884750539536501</v>
      </c>
    </row>
    <row r="358" spans="1:55" x14ac:dyDescent="0.2">
      <c r="A358" t="s">
        <v>753</v>
      </c>
      <c r="B358" t="s">
        <v>754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1</v>
      </c>
      <c r="L358">
        <v>0.7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1.25</v>
      </c>
      <c r="AE358">
        <v>0</v>
      </c>
      <c r="AF358">
        <v>0</v>
      </c>
      <c r="AG358">
        <v>0.11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0.7</v>
      </c>
      <c r="AQ358">
        <v>1</v>
      </c>
      <c r="AR358">
        <v>1</v>
      </c>
      <c r="AS358">
        <v>0</v>
      </c>
      <c r="AT358">
        <v>0.453592</v>
      </c>
      <c r="AU358">
        <v>0.44043783199999997</v>
      </c>
      <c r="AV358">
        <v>0</v>
      </c>
      <c r="AW358">
        <v>0</v>
      </c>
    </row>
    <row r="359" spans="1:55" x14ac:dyDescent="0.2">
      <c r="A359" t="s">
        <v>755</v>
      </c>
      <c r="B359" t="s">
        <v>756</v>
      </c>
      <c r="C359">
        <v>2520</v>
      </c>
      <c r="D359">
        <v>342</v>
      </c>
      <c r="E359">
        <v>884</v>
      </c>
      <c r="F359">
        <v>912</v>
      </c>
      <c r="G359">
        <v>500</v>
      </c>
      <c r="H359">
        <v>580</v>
      </c>
      <c r="I359">
        <v>5738</v>
      </c>
      <c r="J359">
        <v>96412.63</v>
      </c>
      <c r="K359">
        <v>1240996.6100000001</v>
      </c>
      <c r="L359">
        <v>868697.63</v>
      </c>
      <c r="M359">
        <v>203819.29</v>
      </c>
      <c r="N359">
        <v>528750.19999999995</v>
      </c>
      <c r="O359">
        <v>1268651.1599999999</v>
      </c>
      <c r="P359">
        <v>101558400</v>
      </c>
      <c r="Q359">
        <v>174303.35999999999</v>
      </c>
      <c r="R359">
        <v>34403.550000000003</v>
      </c>
      <c r="S359">
        <v>163767.10999999999</v>
      </c>
      <c r="T359">
        <v>2363223.89</v>
      </c>
      <c r="U359">
        <v>97</v>
      </c>
      <c r="V359">
        <v>0</v>
      </c>
      <c r="W359">
        <v>0</v>
      </c>
      <c r="X359">
        <v>0</v>
      </c>
      <c r="Y359">
        <v>0</v>
      </c>
      <c r="Z359">
        <v>174303.35999999999</v>
      </c>
      <c r="AA359">
        <v>34403.550000000003</v>
      </c>
      <c r="AB359">
        <v>163767.10999999999</v>
      </c>
      <c r="AC359">
        <v>2363223.89</v>
      </c>
      <c r="AD359">
        <v>1.1499999999999999</v>
      </c>
      <c r="AE359">
        <v>0.37</v>
      </c>
      <c r="AF359">
        <v>0.28000000000000003</v>
      </c>
      <c r="AG359">
        <v>1.5</v>
      </c>
      <c r="AH359">
        <v>471756.02</v>
      </c>
      <c r="AI359">
        <v>110465.3</v>
      </c>
      <c r="AJ359">
        <v>314340.86</v>
      </c>
      <c r="AK359">
        <v>15465080.52</v>
      </c>
      <c r="AL359">
        <v>174303.35999999999</v>
      </c>
      <c r="AM359">
        <v>34403.550000000003</v>
      </c>
      <c r="AN359">
        <v>163767.10999999999</v>
      </c>
      <c r="AO359">
        <v>2363223.89</v>
      </c>
      <c r="AP359">
        <v>396941.61</v>
      </c>
      <c r="AQ359">
        <v>93353.99</v>
      </c>
      <c r="AR359">
        <v>214409.33999999901</v>
      </c>
      <c r="AS359">
        <v>-14196429.359999999</v>
      </c>
      <c r="AT359">
        <v>43.998424</v>
      </c>
      <c r="AU359">
        <v>42.722469703999998</v>
      </c>
      <c r="AV359">
        <v>44629173.526889503</v>
      </c>
      <c r="AW359">
        <v>384440182.94400001</v>
      </c>
      <c r="AX359">
        <v>8.61410043169119</v>
      </c>
      <c r="AY359">
        <v>1245651.1795999999</v>
      </c>
      <c r="AZ359">
        <v>1.00375067068072</v>
      </c>
      <c r="BA359">
        <v>1332534.8780487799</v>
      </c>
      <c r="BB359">
        <v>1.0737619001624601</v>
      </c>
      <c r="BC359">
        <v>24.6315339415012</v>
      </c>
    </row>
    <row r="360" spans="1:55" x14ac:dyDescent="0.2">
      <c r="A360" t="s">
        <v>757</v>
      </c>
      <c r="B360" t="s">
        <v>758</v>
      </c>
      <c r="C360">
        <v>920</v>
      </c>
      <c r="D360">
        <v>155</v>
      </c>
      <c r="E360">
        <v>0</v>
      </c>
      <c r="F360">
        <v>0</v>
      </c>
      <c r="G360">
        <v>110</v>
      </c>
      <c r="H360">
        <v>100</v>
      </c>
      <c r="I360">
        <v>1285</v>
      </c>
      <c r="J360">
        <v>25404.42</v>
      </c>
      <c r="K360">
        <v>332949.15000000002</v>
      </c>
      <c r="L360">
        <v>233064.41</v>
      </c>
      <c r="M360">
        <v>54020.68</v>
      </c>
      <c r="N360">
        <v>170004.14</v>
      </c>
      <c r="O360">
        <v>470108.7</v>
      </c>
      <c r="P360">
        <v>10710000</v>
      </c>
      <c r="Q360">
        <v>36835.25</v>
      </c>
      <c r="R360">
        <v>2102.23</v>
      </c>
      <c r="S360">
        <v>30732.21</v>
      </c>
      <c r="T360">
        <v>433596.19</v>
      </c>
      <c r="U360">
        <v>59</v>
      </c>
      <c r="V360">
        <v>40687.29</v>
      </c>
      <c r="W360">
        <v>15986.3</v>
      </c>
      <c r="X360">
        <v>41638.660000000003</v>
      </c>
      <c r="Y360">
        <v>351153.36</v>
      </c>
      <c r="Z360">
        <v>36835.25</v>
      </c>
      <c r="AA360">
        <v>2102.23</v>
      </c>
      <c r="AB360">
        <v>30732.21</v>
      </c>
      <c r="AC360">
        <v>433596.19</v>
      </c>
      <c r="AD360">
        <v>0.98</v>
      </c>
      <c r="AE360">
        <v>1.23</v>
      </c>
      <c r="AF360">
        <v>0.47</v>
      </c>
      <c r="AG360">
        <v>2.0299999999999998</v>
      </c>
      <c r="AH360">
        <v>78151.679999999993</v>
      </c>
      <c r="AI360">
        <v>25155.07</v>
      </c>
      <c r="AJ360">
        <v>87920.639999999999</v>
      </c>
      <c r="AK360">
        <v>659404.80000000005</v>
      </c>
      <c r="AL360">
        <v>77522.539999999994</v>
      </c>
      <c r="AM360">
        <v>18088.53</v>
      </c>
      <c r="AN360">
        <v>72370.87</v>
      </c>
      <c r="AO360">
        <v>784749.55</v>
      </c>
      <c r="AP360">
        <v>114225.44</v>
      </c>
      <c r="AQ360">
        <v>12879.31</v>
      </c>
      <c r="AR360">
        <v>40444.839999999997</v>
      </c>
      <c r="AS360">
        <v>-540449.46</v>
      </c>
      <c r="AT360">
        <v>26.761928000000001</v>
      </c>
      <c r="AU360">
        <v>25.985832087999999</v>
      </c>
      <c r="AV360">
        <v>10196190.8655289</v>
      </c>
      <c r="AW360">
        <v>40541741.100000001</v>
      </c>
      <c r="AX360">
        <v>3.9761653773138299</v>
      </c>
      <c r="AY360">
        <v>328225.10639999999</v>
      </c>
      <c r="AZ360">
        <v>0.98581151626306895</v>
      </c>
      <c r="BA360">
        <v>401722.560975609</v>
      </c>
      <c r="BB360">
        <v>1.2065583016974499</v>
      </c>
      <c r="BC360">
        <v>22.055716675489599</v>
      </c>
    </row>
    <row r="361" spans="1:55" x14ac:dyDescent="0.2">
      <c r="A361" t="s">
        <v>759</v>
      </c>
      <c r="B361" t="s">
        <v>760</v>
      </c>
      <c r="C361">
        <v>220</v>
      </c>
      <c r="D361">
        <v>10</v>
      </c>
      <c r="E361">
        <v>35</v>
      </c>
      <c r="F361">
        <v>375</v>
      </c>
      <c r="G361">
        <v>0</v>
      </c>
      <c r="H361">
        <v>0</v>
      </c>
      <c r="I361">
        <v>640</v>
      </c>
      <c r="J361">
        <v>9901.2199999999993</v>
      </c>
      <c r="K361">
        <v>117200.91</v>
      </c>
      <c r="L361">
        <v>82040.639999999999</v>
      </c>
      <c r="M361">
        <v>19805.240000000002</v>
      </c>
      <c r="N361">
        <v>43262.01</v>
      </c>
      <c r="O361">
        <v>106176.6</v>
      </c>
      <c r="P361">
        <v>44280000</v>
      </c>
      <c r="Q361">
        <v>65200.15</v>
      </c>
      <c r="R361">
        <v>15055.95</v>
      </c>
      <c r="S361">
        <v>203675.75</v>
      </c>
      <c r="T361">
        <v>1712414.03</v>
      </c>
      <c r="U361">
        <v>77</v>
      </c>
      <c r="V361">
        <v>35767.39</v>
      </c>
      <c r="W361">
        <v>18175.28</v>
      </c>
      <c r="X361">
        <v>71923.56</v>
      </c>
      <c r="Y361">
        <v>1057470.72</v>
      </c>
      <c r="Z361">
        <v>65200.15</v>
      </c>
      <c r="AA361">
        <v>15055.95</v>
      </c>
      <c r="AB361">
        <v>203675.75</v>
      </c>
      <c r="AC361">
        <v>1712414.03</v>
      </c>
      <c r="AD361">
        <v>1.1399999999999999</v>
      </c>
      <c r="AE361">
        <v>1.71</v>
      </c>
      <c r="AF361">
        <v>1.68</v>
      </c>
      <c r="AG361">
        <v>7.64</v>
      </c>
      <c r="AH361">
        <v>0</v>
      </c>
      <c r="AI361">
        <v>0</v>
      </c>
      <c r="AJ361">
        <v>0</v>
      </c>
      <c r="AK361">
        <v>0</v>
      </c>
      <c r="AL361">
        <v>100967.54</v>
      </c>
      <c r="AM361">
        <v>33231.229999999901</v>
      </c>
      <c r="AN361">
        <v>275599.31</v>
      </c>
      <c r="AO361">
        <v>2769884.75</v>
      </c>
      <c r="AP361">
        <v>46273.25</v>
      </c>
      <c r="AQ361">
        <v>1629.96</v>
      </c>
      <c r="AR361">
        <v>-28661.549999999901</v>
      </c>
      <c r="AS361">
        <v>-951294.11999999895</v>
      </c>
      <c r="AT361">
        <v>34.926583999999998</v>
      </c>
      <c r="AU361">
        <v>33.913713064</v>
      </c>
      <c r="AV361">
        <v>2847056.2117228</v>
      </c>
      <c r="AW361">
        <v>167617954.80000001</v>
      </c>
      <c r="AX361">
        <v>58.874129042422901</v>
      </c>
      <c r="AY361">
        <v>127923.762399999</v>
      </c>
      <c r="AZ361">
        <v>1.0914912042918401</v>
      </c>
      <c r="BA361">
        <v>138700</v>
      </c>
      <c r="BB361">
        <v>1.1834379101663901</v>
      </c>
      <c r="BC361">
        <v>26.0558421052631</v>
      </c>
    </row>
    <row r="362" spans="1:55" x14ac:dyDescent="0.2">
      <c r="A362" t="s">
        <v>761</v>
      </c>
      <c r="B362" t="s">
        <v>762</v>
      </c>
      <c r="C362">
        <v>0</v>
      </c>
      <c r="D362">
        <v>0</v>
      </c>
      <c r="E362">
        <v>398</v>
      </c>
      <c r="F362">
        <v>55</v>
      </c>
      <c r="G362">
        <v>80</v>
      </c>
      <c r="H362">
        <v>0</v>
      </c>
      <c r="I362">
        <v>533</v>
      </c>
      <c r="J362">
        <v>4613.8599999999997</v>
      </c>
      <c r="K362">
        <v>47206.68</v>
      </c>
      <c r="L362">
        <v>33044.68</v>
      </c>
      <c r="M362">
        <v>7584.98</v>
      </c>
      <c r="N362">
        <v>1</v>
      </c>
      <c r="O362">
        <v>0</v>
      </c>
      <c r="P362">
        <v>3119952</v>
      </c>
      <c r="Q362">
        <v>12149.85</v>
      </c>
      <c r="R362">
        <v>1808.39</v>
      </c>
      <c r="S362">
        <v>49818.01</v>
      </c>
      <c r="T362">
        <v>283209.33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30173.77</v>
      </c>
      <c r="AA362">
        <v>3328.61</v>
      </c>
      <c r="AB362">
        <v>78045.38</v>
      </c>
      <c r="AC362">
        <v>430703.64</v>
      </c>
      <c r="AD362">
        <v>1.05</v>
      </c>
      <c r="AE362">
        <v>0.61</v>
      </c>
      <c r="AF362">
        <v>1.44</v>
      </c>
      <c r="AG362">
        <v>4.99</v>
      </c>
      <c r="AH362">
        <v>0</v>
      </c>
      <c r="AI362">
        <v>0</v>
      </c>
      <c r="AJ362">
        <v>0</v>
      </c>
      <c r="AK362">
        <v>0</v>
      </c>
      <c r="AL362">
        <v>30173.77</v>
      </c>
      <c r="AM362">
        <v>3328.61</v>
      </c>
      <c r="AN362">
        <v>78045.38</v>
      </c>
      <c r="AO362">
        <v>430703.64</v>
      </c>
      <c r="AP362">
        <v>15020.7599999999</v>
      </c>
      <c r="AQ362">
        <v>6064.7599999999902</v>
      </c>
      <c r="AR362">
        <v>-28226.37</v>
      </c>
      <c r="AS362">
        <v>-147494.31</v>
      </c>
      <c r="AT362">
        <v>0.453592</v>
      </c>
      <c r="AU362">
        <v>0.44043783199999997</v>
      </c>
      <c r="AV362">
        <v>0</v>
      </c>
      <c r="AW362">
        <v>11810297.500320001</v>
      </c>
      <c r="AY362">
        <v>59611.071199999998</v>
      </c>
      <c r="AZ362">
        <v>1.2627677099935799</v>
      </c>
      <c r="BA362">
        <v>64053.048780487799</v>
      </c>
      <c r="BB362">
        <v>1.35686408746575</v>
      </c>
      <c r="BC362">
        <v>23.6608205128205</v>
      </c>
    </row>
    <row r="363" spans="1:55" x14ac:dyDescent="0.2">
      <c r="A363" t="s">
        <v>763</v>
      </c>
      <c r="B363" t="s">
        <v>764</v>
      </c>
      <c r="C363">
        <v>0</v>
      </c>
      <c r="D363">
        <v>378</v>
      </c>
      <c r="E363">
        <v>450</v>
      </c>
      <c r="F363">
        <v>450</v>
      </c>
      <c r="G363">
        <v>0</v>
      </c>
      <c r="H363">
        <v>0</v>
      </c>
      <c r="I363">
        <v>1278</v>
      </c>
      <c r="J363">
        <v>13784.08</v>
      </c>
      <c r="K363">
        <v>154818</v>
      </c>
      <c r="L363">
        <v>108372.6</v>
      </c>
      <c r="M363">
        <v>23624.57</v>
      </c>
      <c r="N363">
        <v>1</v>
      </c>
      <c r="O363">
        <v>87159.24</v>
      </c>
      <c r="P363">
        <v>9911520</v>
      </c>
      <c r="Q363">
        <v>25895.05</v>
      </c>
      <c r="R363">
        <v>3792.82</v>
      </c>
      <c r="S363">
        <v>94125.01</v>
      </c>
      <c r="T363">
        <v>582015.19999999995</v>
      </c>
      <c r="U363">
        <v>1</v>
      </c>
      <c r="V363">
        <v>117802.12</v>
      </c>
      <c r="W363">
        <v>19732.29</v>
      </c>
      <c r="X363">
        <v>33039.67</v>
      </c>
      <c r="Y363">
        <v>3337673.36</v>
      </c>
      <c r="Z363">
        <v>25895.05</v>
      </c>
      <c r="AA363">
        <v>3792.82</v>
      </c>
      <c r="AB363">
        <v>94125.01</v>
      </c>
      <c r="AC363">
        <v>582015.19999999995</v>
      </c>
      <c r="AD363">
        <v>0.94</v>
      </c>
      <c r="AE363">
        <v>0.41</v>
      </c>
      <c r="AF363">
        <v>0.32</v>
      </c>
      <c r="AG363">
        <v>5.5</v>
      </c>
      <c r="AH363">
        <v>0</v>
      </c>
      <c r="AI363">
        <v>0</v>
      </c>
      <c r="AJ363">
        <v>0</v>
      </c>
      <c r="AK363">
        <v>0</v>
      </c>
      <c r="AL363">
        <v>143697.16999999899</v>
      </c>
      <c r="AM363">
        <v>23525.11</v>
      </c>
      <c r="AN363">
        <v>127164.68</v>
      </c>
      <c r="AO363">
        <v>3919688.5599999898</v>
      </c>
      <c r="AP363">
        <v>-9429.5199999999895</v>
      </c>
      <c r="AQ363">
        <v>3892.2799999999902</v>
      </c>
      <c r="AR363">
        <v>-33038.67</v>
      </c>
      <c r="AS363">
        <v>-3250514.1199999899</v>
      </c>
      <c r="AT363">
        <v>0.453592</v>
      </c>
      <c r="AU363">
        <v>0.44043783199999997</v>
      </c>
      <c r="AV363">
        <v>60767.207681039901</v>
      </c>
      <c r="AW363">
        <v>37519166.923199996</v>
      </c>
      <c r="AX363">
        <v>617.42456754198304</v>
      </c>
      <c r="AY363">
        <v>178090.31359999999</v>
      </c>
      <c r="AZ363">
        <v>1.1503204640287299</v>
      </c>
      <c r="BA363">
        <v>258152.92682926799</v>
      </c>
      <c r="BB363">
        <v>1.6674606753043399</v>
      </c>
      <c r="BC363">
        <v>19.489181322849799</v>
      </c>
    </row>
    <row r="364" spans="1:55" x14ac:dyDescent="0.2">
      <c r="A364" t="s">
        <v>765</v>
      </c>
      <c r="B364" t="s">
        <v>766</v>
      </c>
      <c r="C364">
        <v>150</v>
      </c>
      <c r="D364">
        <v>0</v>
      </c>
      <c r="E364">
        <v>0</v>
      </c>
      <c r="F364">
        <v>500</v>
      </c>
      <c r="G364">
        <v>0</v>
      </c>
      <c r="H364">
        <v>0</v>
      </c>
      <c r="I364">
        <v>650</v>
      </c>
      <c r="J364">
        <v>8611.7199999999993</v>
      </c>
      <c r="K364">
        <v>99178.84</v>
      </c>
      <c r="L364">
        <v>69425.19</v>
      </c>
      <c r="M364">
        <v>16804.2</v>
      </c>
      <c r="N364">
        <v>29299.19</v>
      </c>
      <c r="O364">
        <v>70821</v>
      </c>
      <c r="P364">
        <v>9000000</v>
      </c>
      <c r="Q364">
        <v>38824.28</v>
      </c>
      <c r="R364">
        <v>2699.77</v>
      </c>
      <c r="S364">
        <v>67894.92</v>
      </c>
      <c r="T364">
        <v>485318.5</v>
      </c>
      <c r="U364">
        <v>75</v>
      </c>
      <c r="V364">
        <v>21565.93</v>
      </c>
      <c r="W364">
        <v>4249.7299999999996</v>
      </c>
      <c r="X364">
        <v>14048.51</v>
      </c>
      <c r="Y364">
        <v>952352.32</v>
      </c>
      <c r="Z364">
        <v>38824.28</v>
      </c>
      <c r="AA364">
        <v>2699.77</v>
      </c>
      <c r="AB364">
        <v>67894.92</v>
      </c>
      <c r="AC364">
        <v>485318.5</v>
      </c>
      <c r="AD364">
        <v>1.31</v>
      </c>
      <c r="AE364">
        <v>0.73</v>
      </c>
      <c r="AF364">
        <v>1.18</v>
      </c>
      <c r="AG364">
        <v>8.1999999999999993</v>
      </c>
      <c r="AH364">
        <v>0</v>
      </c>
      <c r="AI364">
        <v>0</v>
      </c>
      <c r="AJ364">
        <v>0</v>
      </c>
      <c r="AK364">
        <v>0</v>
      </c>
      <c r="AL364">
        <v>60390.21</v>
      </c>
      <c r="AM364">
        <v>6949.5</v>
      </c>
      <c r="AN364">
        <v>81943.429999999993</v>
      </c>
      <c r="AO364">
        <v>1437670.8199999901</v>
      </c>
      <c r="AP364">
        <v>47859.26</v>
      </c>
      <c r="AQ364">
        <v>12554.47</v>
      </c>
      <c r="AR364">
        <v>15250.68</v>
      </c>
      <c r="AS364">
        <v>-881531.31999999902</v>
      </c>
      <c r="AT364">
        <v>34.019399999999997</v>
      </c>
      <c r="AU364">
        <v>33.032837399999998</v>
      </c>
      <c r="AV364">
        <v>1808547.8476499901</v>
      </c>
      <c r="AW364">
        <v>34068690</v>
      </c>
      <c r="AX364">
        <v>18.837593953772501</v>
      </c>
      <c r="AY364">
        <v>111263.4224</v>
      </c>
      <c r="AZ364">
        <v>1.1218463777152401</v>
      </c>
      <c r="BA364">
        <v>121518.292682926</v>
      </c>
      <c r="BB364">
        <v>1.2252441416226101</v>
      </c>
      <c r="BC364">
        <v>25.8667047619047</v>
      </c>
    </row>
    <row r="365" spans="1:55" x14ac:dyDescent="0.2">
      <c r="A365" t="s">
        <v>767</v>
      </c>
      <c r="B365" t="s">
        <v>768</v>
      </c>
      <c r="C365">
        <v>0</v>
      </c>
      <c r="D365">
        <v>0</v>
      </c>
      <c r="E365">
        <v>60</v>
      </c>
      <c r="F365">
        <v>1135</v>
      </c>
      <c r="G365">
        <v>0</v>
      </c>
      <c r="H365">
        <v>0</v>
      </c>
      <c r="I365">
        <v>1195</v>
      </c>
      <c r="J365">
        <v>11197.92</v>
      </c>
      <c r="K365">
        <v>113716.2</v>
      </c>
      <c r="L365">
        <v>79601.34</v>
      </c>
      <c r="M365">
        <v>19244.28</v>
      </c>
      <c r="N365">
        <v>1</v>
      </c>
      <c r="O365">
        <v>0</v>
      </c>
      <c r="P365">
        <v>3690000</v>
      </c>
      <c r="Q365">
        <v>13795.29</v>
      </c>
      <c r="R365">
        <v>1558.13</v>
      </c>
      <c r="S365">
        <v>89915.71</v>
      </c>
      <c r="T365">
        <v>357199.38</v>
      </c>
      <c r="U365">
        <v>1</v>
      </c>
      <c r="V365">
        <v>9271.58</v>
      </c>
      <c r="W365">
        <v>3052.68</v>
      </c>
      <c r="X365">
        <v>9460.7999999999993</v>
      </c>
      <c r="Y365">
        <v>362664</v>
      </c>
      <c r="Z365">
        <v>13795.29</v>
      </c>
      <c r="AA365">
        <v>1558.13</v>
      </c>
      <c r="AB365">
        <v>89915.71</v>
      </c>
      <c r="AC365">
        <v>357199.38</v>
      </c>
      <c r="AD365">
        <v>1.29</v>
      </c>
      <c r="AE365">
        <v>1.1000000000000001</v>
      </c>
      <c r="AF365">
        <v>3.9</v>
      </c>
      <c r="AG365">
        <v>7.85</v>
      </c>
      <c r="AH365">
        <v>31553.74</v>
      </c>
      <c r="AI365">
        <v>6403.55</v>
      </c>
      <c r="AJ365">
        <v>20301.12</v>
      </c>
      <c r="AK365">
        <v>440824.32000000001</v>
      </c>
      <c r="AL365">
        <v>23066.87</v>
      </c>
      <c r="AM365">
        <v>4610.8099999999904</v>
      </c>
      <c r="AN365">
        <v>99376.51</v>
      </c>
      <c r="AO365">
        <v>719863.38</v>
      </c>
      <c r="AP365">
        <v>38776.019999999997</v>
      </c>
      <c r="AQ365">
        <v>9788.0499999999993</v>
      </c>
      <c r="AR365">
        <v>-29760.92</v>
      </c>
      <c r="AS365">
        <v>-803488.32</v>
      </c>
      <c r="AT365">
        <v>0.453592</v>
      </c>
      <c r="AU365">
        <v>0.44043783199999997</v>
      </c>
      <c r="AV365">
        <v>0</v>
      </c>
      <c r="AW365">
        <v>13968162.9</v>
      </c>
      <c r="AY365">
        <v>144677.12640000001</v>
      </c>
      <c r="AZ365">
        <v>1.2722648699129899</v>
      </c>
      <c r="BA365">
        <v>159576.21951219501</v>
      </c>
      <c r="BB365">
        <v>1.40328483991019</v>
      </c>
      <c r="BC365">
        <v>25.613094560669399</v>
      </c>
    </row>
    <row r="366" spans="1:55" x14ac:dyDescent="0.2">
      <c r="A366" t="s">
        <v>769</v>
      </c>
      <c r="B366" t="s">
        <v>770</v>
      </c>
      <c r="C366">
        <v>1060</v>
      </c>
      <c r="D366">
        <v>105</v>
      </c>
      <c r="E366">
        <v>0</v>
      </c>
      <c r="F366">
        <v>0</v>
      </c>
      <c r="G366">
        <v>0</v>
      </c>
      <c r="H366">
        <v>0</v>
      </c>
      <c r="I366">
        <v>1165</v>
      </c>
      <c r="J366">
        <v>27903.72</v>
      </c>
      <c r="K366">
        <v>364275</v>
      </c>
      <c r="L366">
        <v>254992.5</v>
      </c>
      <c r="M366">
        <v>60786.52</v>
      </c>
      <c r="N366">
        <v>198667.65</v>
      </c>
      <c r="O366">
        <v>524679.30000000005</v>
      </c>
      <c r="P366">
        <v>47328000</v>
      </c>
      <c r="Q366">
        <v>82460.240000000005</v>
      </c>
      <c r="R366">
        <v>17538.28</v>
      </c>
      <c r="S366">
        <v>143378.04999999999</v>
      </c>
      <c r="T366">
        <v>752572.13</v>
      </c>
      <c r="U366">
        <v>63</v>
      </c>
      <c r="V366">
        <v>101984.7</v>
      </c>
      <c r="W366">
        <v>22948.69</v>
      </c>
      <c r="X366">
        <v>94162.63</v>
      </c>
      <c r="Y366">
        <v>243111</v>
      </c>
      <c r="Z366">
        <v>82460.240000000005</v>
      </c>
      <c r="AA366">
        <v>17538.28</v>
      </c>
      <c r="AB366">
        <v>143378.04999999999</v>
      </c>
      <c r="AC366">
        <v>752572.13</v>
      </c>
      <c r="AD366">
        <v>1.25</v>
      </c>
      <c r="AE366">
        <v>1.3</v>
      </c>
      <c r="AF366">
        <v>1.07</v>
      </c>
      <c r="AG366">
        <v>1.5</v>
      </c>
      <c r="AH366">
        <v>0</v>
      </c>
      <c r="AI366">
        <v>0</v>
      </c>
      <c r="AJ366">
        <v>0</v>
      </c>
      <c r="AK366">
        <v>0</v>
      </c>
      <c r="AL366">
        <v>184444.94</v>
      </c>
      <c r="AM366">
        <v>40486.97</v>
      </c>
      <c r="AN366">
        <v>237540.68</v>
      </c>
      <c r="AO366">
        <v>995683.13</v>
      </c>
      <c r="AP366">
        <v>153007.79999999999</v>
      </c>
      <c r="AQ366">
        <v>37837.8299999999</v>
      </c>
      <c r="AR366">
        <v>104505.019999999</v>
      </c>
      <c r="AS366">
        <v>281568.3</v>
      </c>
      <c r="AT366">
        <v>28.576295999999999</v>
      </c>
      <c r="AU366">
        <v>27.747583415999902</v>
      </c>
      <c r="AV366">
        <v>11798966.158068599</v>
      </c>
      <c r="AW366">
        <v>179155884.47999999</v>
      </c>
      <c r="AX366">
        <v>15.184032404185301</v>
      </c>
      <c r="AY366">
        <v>360516.0624</v>
      </c>
      <c r="AZ366">
        <v>0.989681044266007</v>
      </c>
      <c r="BA366">
        <v>425225</v>
      </c>
      <c r="BB366">
        <v>1.1673186466268599</v>
      </c>
      <c r="BC366">
        <v>23.951690987124401</v>
      </c>
    </row>
    <row r="367" spans="1:55" x14ac:dyDescent="0.2">
      <c r="A367" t="s">
        <v>771</v>
      </c>
      <c r="B367" t="s">
        <v>772</v>
      </c>
      <c r="C367">
        <v>2765</v>
      </c>
      <c r="D367">
        <v>402</v>
      </c>
      <c r="E367">
        <v>220</v>
      </c>
      <c r="F367">
        <v>0</v>
      </c>
      <c r="G367">
        <v>218</v>
      </c>
      <c r="H367">
        <v>0</v>
      </c>
      <c r="I367">
        <v>3605</v>
      </c>
      <c r="J367">
        <v>81711.199999999997</v>
      </c>
      <c r="K367">
        <v>1056810.1399999999</v>
      </c>
      <c r="L367">
        <v>739767.1</v>
      </c>
      <c r="M367">
        <v>175375.66</v>
      </c>
      <c r="N367">
        <v>540081.67000000004</v>
      </c>
      <c r="O367">
        <v>1398160.26</v>
      </c>
      <c r="P367">
        <v>56322459</v>
      </c>
      <c r="Q367">
        <v>268571.03000000003</v>
      </c>
      <c r="R367">
        <v>25338.81</v>
      </c>
      <c r="S367">
        <v>593729.15</v>
      </c>
      <c r="T367">
        <v>2708968.51</v>
      </c>
      <c r="U367">
        <v>75</v>
      </c>
      <c r="V367">
        <v>17180.84</v>
      </c>
      <c r="W367">
        <v>5376.74</v>
      </c>
      <c r="X367">
        <v>8405.02</v>
      </c>
      <c r="Y367">
        <v>281815.3</v>
      </c>
      <c r="Z367">
        <v>268571.03000000003</v>
      </c>
      <c r="AA367">
        <v>25338.81</v>
      </c>
      <c r="AB367">
        <v>593729.15</v>
      </c>
      <c r="AC367">
        <v>2708968.51</v>
      </c>
      <c r="AD367">
        <v>1.28</v>
      </c>
      <c r="AE367">
        <v>0.56999999999999995</v>
      </c>
      <c r="AF367">
        <v>2.2999999999999998</v>
      </c>
      <c r="AG367">
        <v>4.99</v>
      </c>
      <c r="AH367">
        <v>19931.71</v>
      </c>
      <c r="AI367">
        <v>6237.62</v>
      </c>
      <c r="AJ367">
        <v>9750.76</v>
      </c>
      <c r="AK367">
        <v>326937.40999999997</v>
      </c>
      <c r="AL367">
        <v>285751.87</v>
      </c>
      <c r="AM367">
        <v>30715.55</v>
      </c>
      <c r="AN367">
        <v>602134.17000000004</v>
      </c>
      <c r="AO367">
        <v>2990783.8099999898</v>
      </c>
      <c r="AP367">
        <v>702654.55</v>
      </c>
      <c r="AQ367">
        <v>163761.29999999999</v>
      </c>
      <c r="AR367">
        <v>521925.89</v>
      </c>
      <c r="AS367">
        <v>789407.55</v>
      </c>
      <c r="AT367">
        <v>34.019399999999997</v>
      </c>
      <c r="AU367">
        <v>33.032837399999998</v>
      </c>
      <c r="AV367">
        <v>38184473.556717001</v>
      </c>
      <c r="AW367">
        <v>213203599.52318999</v>
      </c>
      <c r="AX367">
        <v>5.5835154884749096</v>
      </c>
      <c r="AY367">
        <v>1055708.7039999999</v>
      </c>
      <c r="AZ367">
        <v>0.99895777305846001</v>
      </c>
      <c r="BA367">
        <v>1195036.7073170701</v>
      </c>
      <c r="BB367">
        <v>1.1307960267272501</v>
      </c>
      <c r="BC367">
        <v>24.558223681799099</v>
      </c>
    </row>
    <row r="368" spans="1:55" x14ac:dyDescent="0.2">
      <c r="A368" t="s">
        <v>773</v>
      </c>
      <c r="B368" t="s">
        <v>774</v>
      </c>
      <c r="C368">
        <v>475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475</v>
      </c>
      <c r="J368">
        <v>12105.36</v>
      </c>
      <c r="K368">
        <v>158280.26999999999</v>
      </c>
      <c r="L368">
        <v>110796.19</v>
      </c>
      <c r="M368">
        <v>26774.59</v>
      </c>
      <c r="N368">
        <v>90590.25</v>
      </c>
      <c r="O368">
        <v>224266.5</v>
      </c>
      <c r="P368">
        <v>16200000</v>
      </c>
      <c r="Q368">
        <v>50210.2</v>
      </c>
      <c r="R368">
        <v>7620.55</v>
      </c>
      <c r="S368">
        <v>81778.33</v>
      </c>
      <c r="T368">
        <v>634046.42000000004</v>
      </c>
      <c r="U368">
        <v>68</v>
      </c>
      <c r="V368">
        <v>6644.48</v>
      </c>
      <c r="W368">
        <v>2676.91</v>
      </c>
      <c r="X368">
        <v>7457.11</v>
      </c>
      <c r="Y368">
        <v>325531.62</v>
      </c>
      <c r="Z368">
        <v>50210.2</v>
      </c>
      <c r="AA368">
        <v>7620.55</v>
      </c>
      <c r="AB368">
        <v>81778.33</v>
      </c>
      <c r="AC368">
        <v>634046.42000000004</v>
      </c>
      <c r="AD368">
        <v>1.38</v>
      </c>
      <c r="AE368">
        <v>0.92</v>
      </c>
      <c r="AF368">
        <v>1.3</v>
      </c>
      <c r="AG368">
        <v>6.92</v>
      </c>
      <c r="AH368">
        <v>0</v>
      </c>
      <c r="AI368">
        <v>0</v>
      </c>
      <c r="AJ368">
        <v>0</v>
      </c>
      <c r="AK368">
        <v>0</v>
      </c>
      <c r="AL368">
        <v>56854.679999999898</v>
      </c>
      <c r="AM368">
        <v>10297.459999999999</v>
      </c>
      <c r="AN368">
        <v>89235.44</v>
      </c>
      <c r="AO368">
        <v>959578.04</v>
      </c>
      <c r="AP368">
        <v>104151.71</v>
      </c>
      <c r="AQ368">
        <v>24097.68</v>
      </c>
      <c r="AR368">
        <v>83133.14</v>
      </c>
      <c r="AS368">
        <v>-101265.12</v>
      </c>
      <c r="AT368">
        <v>30.844256000000001</v>
      </c>
      <c r="AU368">
        <v>29.949772576000001</v>
      </c>
      <c r="AV368">
        <v>5192541.8203640003</v>
      </c>
      <c r="AW368">
        <v>61323642</v>
      </c>
      <c r="AX368">
        <v>11.809946673804699</v>
      </c>
      <c r="AY368">
        <v>156401.2512</v>
      </c>
      <c r="AZ368">
        <v>0.98812853427657099</v>
      </c>
      <c r="BA368">
        <v>173375</v>
      </c>
      <c r="BB368">
        <v>1.09536709787012</v>
      </c>
      <c r="BC368">
        <v>25.484968421052599</v>
      </c>
    </row>
    <row r="369" spans="1:55" x14ac:dyDescent="0.2">
      <c r="A369" t="s">
        <v>775</v>
      </c>
      <c r="B369" t="s">
        <v>776</v>
      </c>
      <c r="C369">
        <v>600</v>
      </c>
      <c r="D369">
        <v>90</v>
      </c>
      <c r="E369">
        <v>200</v>
      </c>
      <c r="F369">
        <v>0</v>
      </c>
      <c r="G369">
        <v>0</v>
      </c>
      <c r="H369">
        <v>100</v>
      </c>
      <c r="I369">
        <v>990</v>
      </c>
      <c r="J369">
        <v>19403.72</v>
      </c>
      <c r="K369">
        <v>244251.77</v>
      </c>
      <c r="L369">
        <v>170976.24</v>
      </c>
      <c r="M369">
        <v>40256.720000000001</v>
      </c>
      <c r="N369">
        <v>116010.91</v>
      </c>
      <c r="O369">
        <v>304036.2</v>
      </c>
      <c r="P369">
        <v>28332000</v>
      </c>
      <c r="Q369">
        <v>169223.67999999999</v>
      </c>
      <c r="R369">
        <v>9434.0400000000009</v>
      </c>
      <c r="S369">
        <v>230991.74</v>
      </c>
      <c r="T369">
        <v>1524167.85</v>
      </c>
      <c r="U369">
        <v>72</v>
      </c>
      <c r="V369">
        <v>19555.25</v>
      </c>
      <c r="W369">
        <v>5839.19</v>
      </c>
      <c r="X369">
        <v>27516.35</v>
      </c>
      <c r="Y369">
        <v>614651.28</v>
      </c>
      <c r="Z369">
        <v>164283.28</v>
      </c>
      <c r="AA369">
        <v>9180.84</v>
      </c>
      <c r="AB369">
        <v>224222.27</v>
      </c>
      <c r="AC369">
        <v>1475935.42</v>
      </c>
      <c r="AD369">
        <v>1.02</v>
      </c>
      <c r="AE369">
        <v>0.65</v>
      </c>
      <c r="AF369">
        <v>1.46</v>
      </c>
      <c r="AG369">
        <v>6.62</v>
      </c>
      <c r="AH369">
        <v>12719.61</v>
      </c>
      <c r="AI369">
        <v>1318.36</v>
      </c>
      <c r="AJ369">
        <v>9112.2000000000007</v>
      </c>
      <c r="AK369">
        <v>108670.83</v>
      </c>
      <c r="AL369">
        <v>183838.53</v>
      </c>
      <c r="AM369">
        <v>15020.029999999901</v>
      </c>
      <c r="AN369">
        <v>251738.62</v>
      </c>
      <c r="AO369">
        <v>2090586.7</v>
      </c>
      <c r="AP369">
        <v>143641.77999999901</v>
      </c>
      <c r="AQ369">
        <v>33352.370000000003</v>
      </c>
      <c r="AR369">
        <v>86151.83</v>
      </c>
      <c r="AS369">
        <v>-371053.47999999899</v>
      </c>
      <c r="AT369">
        <v>32.658624000000003</v>
      </c>
      <c r="AU369">
        <v>31.711523904</v>
      </c>
      <c r="AV369">
        <v>7986547.2952223998</v>
      </c>
      <c r="AW369">
        <v>107248236.12</v>
      </c>
      <c r="AX369">
        <v>13.428610907263501</v>
      </c>
      <c r="AY369">
        <v>250696.0624</v>
      </c>
      <c r="AZ369">
        <v>1.0263838104428</v>
      </c>
      <c r="BA369">
        <v>283008.53658536501</v>
      </c>
      <c r="BB369">
        <v>1.1586754789345599</v>
      </c>
      <c r="BC369">
        <v>24.2620469655382</v>
      </c>
    </row>
    <row r="370" spans="1:55" x14ac:dyDescent="0.2">
      <c r="A370" t="s">
        <v>777</v>
      </c>
      <c r="B370" t="s">
        <v>778</v>
      </c>
      <c r="C370">
        <v>1500</v>
      </c>
      <c r="D370">
        <v>200</v>
      </c>
      <c r="E370">
        <v>300</v>
      </c>
      <c r="F370">
        <v>500</v>
      </c>
      <c r="G370">
        <v>100</v>
      </c>
      <c r="H370">
        <v>0</v>
      </c>
      <c r="I370">
        <v>2600</v>
      </c>
      <c r="J370">
        <v>49968.26</v>
      </c>
      <c r="K370">
        <v>626916.42000000004</v>
      </c>
      <c r="L370">
        <v>438841.49</v>
      </c>
      <c r="M370">
        <v>104325.58</v>
      </c>
      <c r="N370">
        <v>290027.26</v>
      </c>
      <c r="O370">
        <v>754326</v>
      </c>
      <c r="P370">
        <v>28107500</v>
      </c>
      <c r="Q370">
        <v>108396.67</v>
      </c>
      <c r="R370">
        <v>9896.01</v>
      </c>
      <c r="S370">
        <v>205228.02</v>
      </c>
      <c r="T370">
        <v>1226053.24</v>
      </c>
      <c r="U370">
        <v>72</v>
      </c>
      <c r="V370">
        <v>0</v>
      </c>
      <c r="W370">
        <v>0</v>
      </c>
      <c r="X370">
        <v>0</v>
      </c>
      <c r="Y370">
        <v>0</v>
      </c>
      <c r="Z370">
        <v>108396.67</v>
      </c>
      <c r="AA370">
        <v>9896.01</v>
      </c>
      <c r="AB370">
        <v>205228.02</v>
      </c>
      <c r="AC370">
        <v>1226053.24</v>
      </c>
      <c r="AD370">
        <v>1</v>
      </c>
      <c r="AE370">
        <v>0.71</v>
      </c>
      <c r="AF370">
        <v>1.88</v>
      </c>
      <c r="AG370">
        <v>2.44</v>
      </c>
      <c r="AH370">
        <v>189367.67999999999</v>
      </c>
      <c r="AI370">
        <v>59313.440000000002</v>
      </c>
      <c r="AJ370">
        <v>82168.160000000003</v>
      </c>
      <c r="AK370">
        <v>2840515.2</v>
      </c>
      <c r="AL370">
        <v>108396.67</v>
      </c>
      <c r="AM370">
        <v>9896.01</v>
      </c>
      <c r="AN370">
        <v>205228.02</v>
      </c>
      <c r="AO370">
        <v>1226053.24</v>
      </c>
      <c r="AP370">
        <v>249473.81</v>
      </c>
      <c r="AQ370">
        <v>45012.14</v>
      </c>
      <c r="AR370">
        <v>207859.1</v>
      </c>
      <c r="AS370">
        <v>-2086189.2</v>
      </c>
      <c r="AT370">
        <v>32.658624000000003</v>
      </c>
      <c r="AU370">
        <v>31.711523904</v>
      </c>
      <c r="AV370">
        <v>19677000.582432002</v>
      </c>
      <c r="AW370">
        <v>106398411.575</v>
      </c>
      <c r="AX370">
        <v>5.4072474678887001</v>
      </c>
      <c r="AY370">
        <v>645589.9192</v>
      </c>
      <c r="AZ370">
        <v>1.0297862659268</v>
      </c>
      <c r="BA370">
        <v>731780.48780487804</v>
      </c>
      <c r="BB370">
        <v>1.16726961435286</v>
      </c>
      <c r="BC370">
        <v>24.6237819711538</v>
      </c>
    </row>
    <row r="371" spans="1:55" x14ac:dyDescent="0.2">
      <c r="A371" t="s">
        <v>779</v>
      </c>
      <c r="B371" t="s">
        <v>780</v>
      </c>
      <c r="C371">
        <v>2480</v>
      </c>
      <c r="D371">
        <v>355</v>
      </c>
      <c r="E371">
        <v>390</v>
      </c>
      <c r="F371">
        <v>650</v>
      </c>
      <c r="G371">
        <v>190</v>
      </c>
      <c r="H371">
        <v>0</v>
      </c>
      <c r="I371">
        <v>4065</v>
      </c>
      <c r="J371">
        <v>81071.929999999993</v>
      </c>
      <c r="K371">
        <v>1026767.83</v>
      </c>
      <c r="L371">
        <v>718737.48</v>
      </c>
      <c r="M371">
        <v>170714.98</v>
      </c>
      <c r="N371">
        <v>484413.22</v>
      </c>
      <c r="O371">
        <v>1252763.1000000001</v>
      </c>
      <c r="P371">
        <v>146659600</v>
      </c>
      <c r="Q371">
        <v>455211.6</v>
      </c>
      <c r="R371">
        <v>60709.37</v>
      </c>
      <c r="S371">
        <v>701433.75</v>
      </c>
      <c r="T371">
        <v>3230172.1</v>
      </c>
      <c r="U371">
        <v>75</v>
      </c>
      <c r="V371">
        <v>158157.96</v>
      </c>
      <c r="W371">
        <v>30869.37</v>
      </c>
      <c r="X371">
        <v>99959</v>
      </c>
      <c r="Y371">
        <v>1121744.56</v>
      </c>
      <c r="Z371">
        <v>455211.6</v>
      </c>
      <c r="AA371">
        <v>60709.37</v>
      </c>
      <c r="AB371">
        <v>701433.75</v>
      </c>
      <c r="AC371">
        <v>3230172.1</v>
      </c>
      <c r="AD371">
        <v>0.85</v>
      </c>
      <c r="AE371">
        <v>0.72</v>
      </c>
      <c r="AF371">
        <v>0.84</v>
      </c>
      <c r="AG371">
        <v>2.11</v>
      </c>
      <c r="AH371">
        <v>0</v>
      </c>
      <c r="AI371">
        <v>0</v>
      </c>
      <c r="AJ371">
        <v>0</v>
      </c>
      <c r="AK371">
        <v>0</v>
      </c>
      <c r="AL371">
        <v>613369.55999999901</v>
      </c>
      <c r="AM371">
        <v>91578.74</v>
      </c>
      <c r="AN371">
        <v>801392.75</v>
      </c>
      <c r="AO371">
        <v>4351916.66</v>
      </c>
      <c r="AP371">
        <v>560579.52</v>
      </c>
      <c r="AQ371">
        <v>139845.60999999999</v>
      </c>
      <c r="AR371">
        <v>384454.22</v>
      </c>
      <c r="AS371">
        <v>131018.54</v>
      </c>
      <c r="AT371">
        <v>34.019399999999997</v>
      </c>
      <c r="AU371">
        <v>33.032837399999998</v>
      </c>
      <c r="AV371">
        <v>34181554.320584998</v>
      </c>
      <c r="AW371">
        <v>555166716.43599999</v>
      </c>
      <c r="AX371">
        <v>16.241704845518498</v>
      </c>
      <c r="AY371">
        <v>1047449.33559999</v>
      </c>
      <c r="AZ371">
        <v>1.02014233889661</v>
      </c>
      <c r="BA371">
        <v>1182110.36585365</v>
      </c>
      <c r="BB371">
        <v>1.1512927570526399</v>
      </c>
      <c r="BC371">
        <v>24.679430745814301</v>
      </c>
    </row>
    <row r="372" spans="1:55" x14ac:dyDescent="0.2">
      <c r="A372" t="s">
        <v>781</v>
      </c>
      <c r="B372" t="s">
        <v>782</v>
      </c>
      <c r="C372">
        <v>1210</v>
      </c>
      <c r="D372">
        <v>270</v>
      </c>
      <c r="E372">
        <v>210</v>
      </c>
      <c r="F372">
        <v>430</v>
      </c>
      <c r="G372">
        <v>280</v>
      </c>
      <c r="H372">
        <v>30</v>
      </c>
      <c r="I372">
        <v>2430</v>
      </c>
      <c r="J372">
        <v>43443.41</v>
      </c>
      <c r="K372">
        <v>546151.01</v>
      </c>
      <c r="L372">
        <v>382305.71</v>
      </c>
      <c r="M372">
        <v>89237.65</v>
      </c>
      <c r="N372">
        <v>237941.07</v>
      </c>
      <c r="O372">
        <v>633546</v>
      </c>
      <c r="P372">
        <v>36013000</v>
      </c>
      <c r="Q372">
        <v>131707.74</v>
      </c>
      <c r="R372">
        <v>13441.95</v>
      </c>
      <c r="S372">
        <v>171429.43</v>
      </c>
      <c r="T372">
        <v>1533556.31</v>
      </c>
      <c r="U372">
        <v>77</v>
      </c>
      <c r="V372">
        <v>203554.6</v>
      </c>
      <c r="W372">
        <v>101107.1</v>
      </c>
      <c r="X372">
        <v>74421.94</v>
      </c>
      <c r="Y372">
        <v>209514.6</v>
      </c>
      <c r="Z372">
        <v>131707.74</v>
      </c>
      <c r="AA372">
        <v>13441.95</v>
      </c>
      <c r="AB372">
        <v>171429.43</v>
      </c>
      <c r="AC372">
        <v>1533556.31</v>
      </c>
      <c r="AD372">
        <v>0.87</v>
      </c>
      <c r="AE372">
        <v>1.92</v>
      </c>
      <c r="AF372">
        <v>0.53</v>
      </c>
      <c r="AG372">
        <v>1.2</v>
      </c>
      <c r="AH372">
        <v>0</v>
      </c>
      <c r="AI372">
        <v>0</v>
      </c>
      <c r="AJ372">
        <v>0</v>
      </c>
      <c r="AK372">
        <v>0</v>
      </c>
      <c r="AL372">
        <v>335262.33999999898</v>
      </c>
      <c r="AM372">
        <v>114549.05</v>
      </c>
      <c r="AN372">
        <v>245851.37</v>
      </c>
      <c r="AO372">
        <v>1743070.91</v>
      </c>
      <c r="AP372">
        <v>178751.11</v>
      </c>
      <c r="AQ372">
        <v>-11869.45</v>
      </c>
      <c r="AR372">
        <v>163519.13</v>
      </c>
      <c r="AS372">
        <v>424031.39999999898</v>
      </c>
      <c r="AT372">
        <v>34.926583999999998</v>
      </c>
      <c r="AU372">
        <v>33.913713064</v>
      </c>
      <c r="AV372">
        <v>18320187.7971728</v>
      </c>
      <c r="AW372">
        <v>136323970.33000001</v>
      </c>
      <c r="AX372">
        <v>7.44118847684725</v>
      </c>
      <c r="AY372">
        <v>561288.85719999997</v>
      </c>
      <c r="AZ372">
        <v>1.027717328949</v>
      </c>
      <c r="BA372">
        <v>639462.19512195105</v>
      </c>
      <c r="BB372">
        <v>1.1708523529452901</v>
      </c>
      <c r="BC372">
        <v>23.7712506339249</v>
      </c>
    </row>
    <row r="373" spans="1:55" x14ac:dyDescent="0.2">
      <c r="A373" t="s">
        <v>783</v>
      </c>
      <c r="B373" t="s">
        <v>784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17.55</v>
      </c>
      <c r="K373">
        <v>230.13</v>
      </c>
      <c r="L373">
        <v>161.09</v>
      </c>
      <c r="M373">
        <v>37.409999999999997</v>
      </c>
      <c r="N373">
        <v>146.58000000000001</v>
      </c>
      <c r="O373">
        <v>472.14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0.72</v>
      </c>
      <c r="AE373">
        <v>0</v>
      </c>
      <c r="AF373">
        <v>0</v>
      </c>
      <c r="AG373">
        <v>0.27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161.09</v>
      </c>
      <c r="AQ373">
        <v>37.409999999999997</v>
      </c>
      <c r="AR373">
        <v>146.58000000000001</v>
      </c>
      <c r="AS373">
        <v>472.14</v>
      </c>
      <c r="AT373">
        <v>0.453592</v>
      </c>
      <c r="AU373">
        <v>0.44043783199999997</v>
      </c>
      <c r="AV373">
        <v>160.75980867999999</v>
      </c>
      <c r="AW373">
        <v>0</v>
      </c>
      <c r="AY373">
        <v>226.74600000000001</v>
      </c>
      <c r="AZ373">
        <v>0.98529526789206101</v>
      </c>
      <c r="BA373">
        <v>365</v>
      </c>
      <c r="BB373">
        <v>1.5860600530135101</v>
      </c>
      <c r="BC373">
        <v>17.55</v>
      </c>
    </row>
    <row r="374" spans="1:55" x14ac:dyDescent="0.2">
      <c r="A374" t="s">
        <v>785</v>
      </c>
      <c r="B374" t="s">
        <v>786</v>
      </c>
      <c r="C374">
        <v>600</v>
      </c>
      <c r="D374">
        <v>90</v>
      </c>
      <c r="E374">
        <v>200</v>
      </c>
      <c r="F374">
        <v>200</v>
      </c>
      <c r="G374">
        <v>80</v>
      </c>
      <c r="H374">
        <v>0</v>
      </c>
      <c r="I374">
        <v>1170</v>
      </c>
      <c r="J374">
        <v>21086.39</v>
      </c>
      <c r="K374">
        <v>262258.96999999997</v>
      </c>
      <c r="L374">
        <v>183581.28</v>
      </c>
      <c r="M374">
        <v>43405.05</v>
      </c>
      <c r="N374">
        <v>116010.91</v>
      </c>
      <c r="O374">
        <v>304036.2</v>
      </c>
      <c r="P374">
        <v>10276500</v>
      </c>
      <c r="Q374">
        <v>63499.27</v>
      </c>
      <c r="R374">
        <v>2858.75</v>
      </c>
      <c r="S374">
        <v>67223.539999999994</v>
      </c>
      <c r="T374">
        <v>411040.9</v>
      </c>
      <c r="U374">
        <v>72</v>
      </c>
      <c r="V374">
        <v>51751.16</v>
      </c>
      <c r="W374">
        <v>18695</v>
      </c>
      <c r="X374">
        <v>71700.38</v>
      </c>
      <c r="Y374">
        <v>128950.12</v>
      </c>
      <c r="Z374">
        <v>63499.27</v>
      </c>
      <c r="AA374">
        <v>2858.75</v>
      </c>
      <c r="AB374">
        <v>67223.539999999994</v>
      </c>
      <c r="AC374">
        <v>411040.9</v>
      </c>
      <c r="AD374">
        <v>0.89</v>
      </c>
      <c r="AE374">
        <v>1.06</v>
      </c>
      <c r="AF374">
        <v>0.85</v>
      </c>
      <c r="AG374">
        <v>2.76</v>
      </c>
      <c r="AH374">
        <v>0</v>
      </c>
      <c r="AI374">
        <v>0</v>
      </c>
      <c r="AJ374">
        <v>0</v>
      </c>
      <c r="AK374">
        <v>0</v>
      </c>
      <c r="AL374">
        <v>115250.43</v>
      </c>
      <c r="AM374">
        <v>21553.75</v>
      </c>
      <c r="AN374">
        <v>138923.91999999899</v>
      </c>
      <c r="AO374">
        <v>539991.02</v>
      </c>
      <c r="AP374">
        <v>131830.12</v>
      </c>
      <c r="AQ374">
        <v>24710.05</v>
      </c>
      <c r="AR374">
        <v>44310.53</v>
      </c>
      <c r="AS374">
        <v>175086.07999999999</v>
      </c>
      <c r="AT374">
        <v>32.658624000000003</v>
      </c>
      <c r="AU374">
        <v>31.711523904</v>
      </c>
      <c r="AV374">
        <v>7986547.2952223998</v>
      </c>
      <c r="AW374">
        <v>38900765.865000002</v>
      </c>
      <c r="AX374">
        <v>4.8707863895416503</v>
      </c>
      <c r="AY374">
        <v>272436.15879999998</v>
      </c>
      <c r="AZ374">
        <v>1.03880587497159</v>
      </c>
      <c r="BA374">
        <v>308825.60975609702</v>
      </c>
      <c r="BB374">
        <v>1.1775597599429899</v>
      </c>
      <c r="BC374">
        <v>24.360157509157499</v>
      </c>
    </row>
    <row r="375" spans="1:55" x14ac:dyDescent="0.2">
      <c r="A375" t="s">
        <v>787</v>
      </c>
      <c r="B375" t="s">
        <v>788</v>
      </c>
      <c r="C375">
        <v>0</v>
      </c>
      <c r="D375">
        <v>0</v>
      </c>
      <c r="E375">
        <v>310</v>
      </c>
      <c r="F375">
        <v>90</v>
      </c>
      <c r="G375">
        <v>0</v>
      </c>
      <c r="H375">
        <v>0</v>
      </c>
      <c r="I375">
        <v>400</v>
      </c>
      <c r="J375">
        <v>4133.59</v>
      </c>
      <c r="K375">
        <v>38064</v>
      </c>
      <c r="L375">
        <v>26644.799999999999</v>
      </c>
      <c r="M375">
        <v>6441.6</v>
      </c>
      <c r="N375">
        <v>1</v>
      </c>
      <c r="O375">
        <v>0</v>
      </c>
      <c r="P375">
        <v>3185500</v>
      </c>
      <c r="Q375">
        <v>11755.37</v>
      </c>
      <c r="R375">
        <v>4785.13</v>
      </c>
      <c r="S375">
        <v>32025.69</v>
      </c>
      <c r="T375">
        <v>110265.41</v>
      </c>
      <c r="U375">
        <v>1</v>
      </c>
      <c r="V375">
        <v>5390.5</v>
      </c>
      <c r="W375">
        <v>3752.21</v>
      </c>
      <c r="X375">
        <v>10543.18</v>
      </c>
      <c r="Y375">
        <v>156430.07999999999</v>
      </c>
      <c r="Z375">
        <v>11755.37</v>
      </c>
      <c r="AA375">
        <v>4785.13</v>
      </c>
      <c r="AB375">
        <v>32025.69</v>
      </c>
      <c r="AC375">
        <v>110265.41</v>
      </c>
      <c r="AD375">
        <v>1.29</v>
      </c>
      <c r="AE375">
        <v>3.27</v>
      </c>
      <c r="AF375">
        <v>2.2599999999999998</v>
      </c>
      <c r="AG375">
        <v>4.09</v>
      </c>
      <c r="AH375">
        <v>0</v>
      </c>
      <c r="AI375">
        <v>0</v>
      </c>
      <c r="AJ375">
        <v>0</v>
      </c>
      <c r="AK375">
        <v>0</v>
      </c>
      <c r="AL375">
        <v>17145.87</v>
      </c>
      <c r="AM375">
        <v>8537.34</v>
      </c>
      <c r="AN375">
        <v>42568.869999999901</v>
      </c>
      <c r="AO375">
        <v>266695.49</v>
      </c>
      <c r="AP375">
        <v>21254.299999999901</v>
      </c>
      <c r="AQ375">
        <v>2689.3899999999899</v>
      </c>
      <c r="AR375">
        <v>-10542.1799999999</v>
      </c>
      <c r="AS375">
        <v>-156430.07999999999</v>
      </c>
      <c r="AT375">
        <v>0.453592</v>
      </c>
      <c r="AU375">
        <v>0.44043783199999997</v>
      </c>
      <c r="AV375">
        <v>0</v>
      </c>
      <c r="AW375">
        <v>12058423.555</v>
      </c>
      <c r="AY375">
        <v>53405.982799999998</v>
      </c>
      <c r="AZ375">
        <v>1.4030575556956699</v>
      </c>
      <c r="BA375">
        <v>53414.634146341399</v>
      </c>
      <c r="BB375">
        <v>1.40328483991019</v>
      </c>
      <c r="BC375">
        <v>28.2461983333333</v>
      </c>
    </row>
    <row r="376" spans="1:55" x14ac:dyDescent="0.2">
      <c r="A376" t="s">
        <v>314</v>
      </c>
      <c r="C376">
        <v>497</v>
      </c>
      <c r="D376">
        <v>54</v>
      </c>
      <c r="E376">
        <v>193</v>
      </c>
      <c r="F376">
        <v>136</v>
      </c>
      <c r="G376">
        <v>40</v>
      </c>
      <c r="H376">
        <v>0</v>
      </c>
      <c r="I376">
        <v>920</v>
      </c>
      <c r="J376">
        <v>17606.990000000002</v>
      </c>
      <c r="K376">
        <v>216497.55</v>
      </c>
      <c r="L376">
        <v>151548.29</v>
      </c>
      <c r="M376">
        <v>36168.35</v>
      </c>
      <c r="N376">
        <v>98060.24</v>
      </c>
      <c r="O376">
        <v>247104.9</v>
      </c>
      <c r="P376">
        <v>9432000</v>
      </c>
      <c r="Q376">
        <v>29786.94</v>
      </c>
      <c r="R376">
        <v>9288.75</v>
      </c>
      <c r="S376">
        <v>73559.64</v>
      </c>
      <c r="T376">
        <v>240660.45</v>
      </c>
      <c r="U376">
        <v>78</v>
      </c>
      <c r="V376">
        <v>5825.48</v>
      </c>
      <c r="W376">
        <v>592.02</v>
      </c>
      <c r="X376">
        <v>1160.3599999999999</v>
      </c>
      <c r="Y376">
        <v>0</v>
      </c>
      <c r="Z376">
        <v>29786.94</v>
      </c>
      <c r="AA376">
        <v>9288.75</v>
      </c>
      <c r="AB376">
        <v>73559.64</v>
      </c>
      <c r="AC376">
        <v>240660.45</v>
      </c>
      <c r="AD376">
        <v>1.71</v>
      </c>
      <c r="AE376">
        <v>2.09</v>
      </c>
      <c r="AF376">
        <v>1.56</v>
      </c>
      <c r="AG376">
        <v>1.56</v>
      </c>
      <c r="AH376">
        <v>0</v>
      </c>
      <c r="AI376">
        <v>0</v>
      </c>
      <c r="AJ376">
        <v>0</v>
      </c>
      <c r="AK376">
        <v>0</v>
      </c>
      <c r="AL376">
        <v>35612.42</v>
      </c>
      <c r="AM376">
        <v>9880.77</v>
      </c>
      <c r="AN376">
        <v>74720</v>
      </c>
      <c r="AO376">
        <v>240660.45</v>
      </c>
      <c r="AP376">
        <v>145722.81</v>
      </c>
      <c r="AQ376">
        <v>35576.33</v>
      </c>
      <c r="AR376">
        <v>96899.88</v>
      </c>
      <c r="AS376">
        <v>247104.899999999</v>
      </c>
      <c r="AT376">
        <v>35.380175999999999</v>
      </c>
      <c r="AU376">
        <v>34.354150896</v>
      </c>
      <c r="AV376">
        <v>6909135.05744904</v>
      </c>
      <c r="AW376">
        <v>35703987.119999997</v>
      </c>
      <c r="AX376">
        <v>5.16764932558468</v>
      </c>
      <c r="AY376">
        <v>227482.31080000001</v>
      </c>
      <c r="AZ376">
        <v>1.05073849935022</v>
      </c>
      <c r="BA376">
        <v>246829.02439024299</v>
      </c>
      <c r="BB376">
        <v>1.1401007743055001</v>
      </c>
      <c r="BC376">
        <v>25.666166180758001</v>
      </c>
    </row>
    <row r="377" spans="1:55" x14ac:dyDescent="0.2">
      <c r="A377" t="s">
        <v>789</v>
      </c>
      <c r="B377" t="s">
        <v>790</v>
      </c>
      <c r="C377">
        <v>740</v>
      </c>
      <c r="D377">
        <v>90</v>
      </c>
      <c r="E377">
        <v>190</v>
      </c>
      <c r="F377">
        <v>100</v>
      </c>
      <c r="G377">
        <v>25</v>
      </c>
      <c r="H377">
        <v>0</v>
      </c>
      <c r="I377">
        <v>1145</v>
      </c>
      <c r="J377">
        <v>23993.919999999998</v>
      </c>
      <c r="K377">
        <v>302178.90000000002</v>
      </c>
      <c r="L377">
        <v>211525.23</v>
      </c>
      <c r="M377">
        <v>50531.01</v>
      </c>
      <c r="N377">
        <v>145517.68</v>
      </c>
      <c r="O377">
        <v>370135.8</v>
      </c>
      <c r="P377">
        <v>27684000</v>
      </c>
      <c r="Q377">
        <v>57761.3</v>
      </c>
      <c r="R377">
        <v>11841.46</v>
      </c>
      <c r="S377">
        <v>76818.45</v>
      </c>
      <c r="T377">
        <v>733123.94</v>
      </c>
      <c r="U377">
        <v>77</v>
      </c>
      <c r="V377">
        <v>58646.51</v>
      </c>
      <c r="W377">
        <v>17803.240000000002</v>
      </c>
      <c r="X377">
        <v>55527.1</v>
      </c>
      <c r="Y377">
        <v>1261471.79</v>
      </c>
      <c r="Z377">
        <v>57761.3</v>
      </c>
      <c r="AA377">
        <v>11841.46</v>
      </c>
      <c r="AB377">
        <v>76818.45</v>
      </c>
      <c r="AC377">
        <v>733123.94</v>
      </c>
      <c r="AD377">
        <v>1.38</v>
      </c>
      <c r="AE377">
        <v>2.48</v>
      </c>
      <c r="AF377">
        <v>1.48</v>
      </c>
      <c r="AG377">
        <v>6.12</v>
      </c>
      <c r="AH377">
        <v>0</v>
      </c>
      <c r="AI377">
        <v>0</v>
      </c>
      <c r="AJ377">
        <v>0</v>
      </c>
      <c r="AK377">
        <v>0</v>
      </c>
      <c r="AL377">
        <v>116407.81</v>
      </c>
      <c r="AM377">
        <v>29644.7</v>
      </c>
      <c r="AN377">
        <v>132345.54999999999</v>
      </c>
      <c r="AO377">
        <v>1994595.73</v>
      </c>
      <c r="AP377">
        <v>152878.72</v>
      </c>
      <c r="AQ377">
        <v>32727.77</v>
      </c>
      <c r="AR377">
        <v>89990.58</v>
      </c>
      <c r="AS377">
        <v>-891335.99</v>
      </c>
      <c r="AT377">
        <v>34.926583999999998</v>
      </c>
      <c r="AU377">
        <v>33.913713064</v>
      </c>
      <c r="AV377">
        <v>10274159.372738799</v>
      </c>
      <c r="AW377">
        <v>104795290.44</v>
      </c>
      <c r="AX377">
        <v>10.1998895129134</v>
      </c>
      <c r="AY377">
        <v>310001.44639999903</v>
      </c>
      <c r="AZ377">
        <v>1.0258871363950199</v>
      </c>
      <c r="BA377">
        <v>342788.41463414597</v>
      </c>
      <c r="BB377">
        <v>1.13438898160707</v>
      </c>
      <c r="BC377">
        <v>25.383840020642399</v>
      </c>
    </row>
    <row r="378" spans="1:55" x14ac:dyDescent="0.2">
      <c r="A378" t="s">
        <v>791</v>
      </c>
      <c r="B378" t="s">
        <v>792</v>
      </c>
      <c r="C378">
        <v>2600</v>
      </c>
      <c r="D378">
        <v>371</v>
      </c>
      <c r="E378">
        <v>1705</v>
      </c>
      <c r="F378">
        <v>1705</v>
      </c>
      <c r="G378">
        <v>500</v>
      </c>
      <c r="H378">
        <v>500</v>
      </c>
      <c r="I378">
        <v>7381</v>
      </c>
      <c r="J378">
        <v>110189.67</v>
      </c>
      <c r="K378">
        <v>1338008.5</v>
      </c>
      <c r="L378">
        <v>936605.95</v>
      </c>
      <c r="M378">
        <v>219204.66</v>
      </c>
      <c r="N378">
        <v>507852.56</v>
      </c>
      <c r="O378">
        <v>1313109.18</v>
      </c>
      <c r="P378">
        <v>45138000</v>
      </c>
      <c r="Q378">
        <v>192016.91</v>
      </c>
      <c r="R378">
        <v>15872</v>
      </c>
      <c r="S378">
        <v>393122.25</v>
      </c>
      <c r="T378">
        <v>2177771.9500000002</v>
      </c>
      <c r="U378">
        <v>75</v>
      </c>
      <c r="V378">
        <v>23624.6</v>
      </c>
      <c r="W378">
        <v>12610.24</v>
      </c>
      <c r="X378">
        <v>49514.5</v>
      </c>
      <c r="Y378">
        <v>487781</v>
      </c>
      <c r="Z378">
        <v>192016.91</v>
      </c>
      <c r="AA378">
        <v>15872</v>
      </c>
      <c r="AB378">
        <v>393122.25</v>
      </c>
      <c r="AC378">
        <v>2177771.9500000002</v>
      </c>
      <c r="AD378">
        <v>1.1399999999999999</v>
      </c>
      <c r="AE378">
        <v>0.93</v>
      </c>
      <c r="AF378">
        <v>1.83</v>
      </c>
      <c r="AG378">
        <v>2.95</v>
      </c>
      <c r="AH378">
        <v>141636.74</v>
      </c>
      <c r="AI378">
        <v>43062.080000000002</v>
      </c>
      <c r="AJ378">
        <v>154395.29999999999</v>
      </c>
      <c r="AK378">
        <v>2750456.5</v>
      </c>
      <c r="AL378">
        <v>215641.51</v>
      </c>
      <c r="AM378">
        <v>28482.2399999999</v>
      </c>
      <c r="AN378">
        <v>442636.75</v>
      </c>
      <c r="AO378">
        <v>2665552.9500000002</v>
      </c>
      <c r="AP378">
        <v>771344.60999999905</v>
      </c>
      <c r="AQ378">
        <v>163532.34</v>
      </c>
      <c r="AR378">
        <v>303942.76</v>
      </c>
      <c r="AS378">
        <v>-1925128.32</v>
      </c>
      <c r="AT378">
        <v>34.019399999999997</v>
      </c>
      <c r="AU378">
        <v>33.032837399999998</v>
      </c>
      <c r="AV378">
        <v>35821304.369121</v>
      </c>
      <c r="AW378">
        <v>170865836.58000001</v>
      </c>
      <c r="AX378">
        <v>4.7699501620407503</v>
      </c>
      <c r="AY378">
        <v>1423650.5363999901</v>
      </c>
      <c r="AZ378">
        <v>1.0640070944242801</v>
      </c>
      <c r="BA378">
        <v>1584286.9512195101</v>
      </c>
      <c r="BB378">
        <v>1.18406344295982</v>
      </c>
      <c r="BC378">
        <v>24.0357120360074</v>
      </c>
    </row>
    <row r="379" spans="1:55" x14ac:dyDescent="0.2">
      <c r="A379" t="s">
        <v>793</v>
      </c>
      <c r="B379" t="s">
        <v>794</v>
      </c>
      <c r="C379">
        <v>618</v>
      </c>
      <c r="D379">
        <v>54</v>
      </c>
      <c r="E379">
        <v>220</v>
      </c>
      <c r="F379">
        <v>197</v>
      </c>
      <c r="G379">
        <v>98</v>
      </c>
      <c r="H379">
        <v>139</v>
      </c>
      <c r="I379">
        <v>1326</v>
      </c>
      <c r="J379">
        <v>21926.68</v>
      </c>
      <c r="K379">
        <v>274294.82</v>
      </c>
      <c r="L379">
        <v>192006.37</v>
      </c>
      <c r="M379">
        <v>44937.59</v>
      </c>
      <c r="N379">
        <v>120712.65</v>
      </c>
      <c r="O379">
        <v>304233.84000000003</v>
      </c>
      <c r="P379">
        <v>7218000</v>
      </c>
      <c r="Q379">
        <v>34751.769999999997</v>
      </c>
      <c r="R379">
        <v>5939.72</v>
      </c>
      <c r="S379">
        <v>43246.36</v>
      </c>
      <c r="T379">
        <v>215025.62</v>
      </c>
      <c r="U379">
        <v>75</v>
      </c>
      <c r="V379">
        <v>0</v>
      </c>
      <c r="W379">
        <v>0</v>
      </c>
      <c r="X379">
        <v>0</v>
      </c>
      <c r="Y379">
        <v>0</v>
      </c>
      <c r="Z379">
        <v>34751.769999999997</v>
      </c>
      <c r="AA379">
        <v>5939.72</v>
      </c>
      <c r="AB379">
        <v>43246.36</v>
      </c>
      <c r="AC379">
        <v>215025.62</v>
      </c>
      <c r="AD379">
        <v>1.1200000000000001</v>
      </c>
      <c r="AE379">
        <v>0.79</v>
      </c>
      <c r="AF379">
        <v>1.05</v>
      </c>
      <c r="AG379">
        <v>1.56</v>
      </c>
      <c r="AH379">
        <v>17262.8</v>
      </c>
      <c r="AI379">
        <v>11899.6</v>
      </c>
      <c r="AJ379">
        <v>754.2</v>
      </c>
      <c r="AK379">
        <v>0</v>
      </c>
      <c r="AL379">
        <v>34751.769999999997</v>
      </c>
      <c r="AM379">
        <v>5939.72</v>
      </c>
      <c r="AN379">
        <v>43246.36</v>
      </c>
      <c r="AO379">
        <v>215025.62</v>
      </c>
      <c r="AP379">
        <v>174743.57</v>
      </c>
      <c r="AQ379">
        <v>33037.99</v>
      </c>
      <c r="AR379">
        <v>119958.45</v>
      </c>
      <c r="AS379">
        <v>304233.84000000003</v>
      </c>
      <c r="AT379">
        <v>34.019399999999997</v>
      </c>
      <c r="AU379">
        <v>33.032837399999998</v>
      </c>
      <c r="AV379">
        <v>8102294.3574719997</v>
      </c>
      <c r="AW379">
        <v>27323089.379999999</v>
      </c>
      <c r="AX379">
        <v>3.3722657033316001</v>
      </c>
      <c r="AY379">
        <v>283292.70559999999</v>
      </c>
      <c r="AZ379">
        <v>1.03280370223542</v>
      </c>
      <c r="BA379">
        <v>311514.14634146303</v>
      </c>
      <c r="BB379">
        <v>1.1356909559628701</v>
      </c>
      <c r="BC379">
        <v>24.061717252823701</v>
      </c>
    </row>
    <row r="380" spans="1:55" x14ac:dyDescent="0.2">
      <c r="A380" t="s">
        <v>795</v>
      </c>
      <c r="B380" t="s">
        <v>796</v>
      </c>
      <c r="C380">
        <v>1220</v>
      </c>
      <c r="D380">
        <v>200</v>
      </c>
      <c r="E380">
        <v>400</v>
      </c>
      <c r="F380">
        <v>0</v>
      </c>
      <c r="G380">
        <v>0</v>
      </c>
      <c r="H380">
        <v>350</v>
      </c>
      <c r="I380">
        <v>2170</v>
      </c>
      <c r="J380">
        <v>38150.85</v>
      </c>
      <c r="K380">
        <v>495374.04</v>
      </c>
      <c r="L380">
        <v>346761.83</v>
      </c>
      <c r="M380">
        <v>80619.09</v>
      </c>
      <c r="N380">
        <v>231066.43</v>
      </c>
      <c r="O380">
        <v>622126.80000000005</v>
      </c>
      <c r="P380">
        <v>5201000</v>
      </c>
      <c r="Q380">
        <v>31336.49</v>
      </c>
      <c r="R380">
        <v>1996.51</v>
      </c>
      <c r="S380">
        <v>95051.14</v>
      </c>
      <c r="T380">
        <v>434023.45</v>
      </c>
      <c r="U380">
        <v>66</v>
      </c>
      <c r="V380">
        <v>156796.92000000001</v>
      </c>
      <c r="W380">
        <v>22295.599999999999</v>
      </c>
      <c r="X380">
        <v>52662.6</v>
      </c>
      <c r="Y380">
        <v>66159.039999999994</v>
      </c>
      <c r="Z380">
        <v>0</v>
      </c>
      <c r="AA380">
        <v>0</v>
      </c>
      <c r="AB380">
        <v>0</v>
      </c>
      <c r="AC380">
        <v>0</v>
      </c>
      <c r="AD380">
        <v>1.24</v>
      </c>
      <c r="AE380">
        <v>0.49</v>
      </c>
      <c r="AF380">
        <v>0.24</v>
      </c>
      <c r="AG380">
        <v>0.1</v>
      </c>
      <c r="AH380">
        <v>31336.49</v>
      </c>
      <c r="AI380">
        <v>1996.51</v>
      </c>
      <c r="AJ380">
        <v>95051.14</v>
      </c>
      <c r="AK380">
        <v>434023.45</v>
      </c>
      <c r="AL380">
        <v>156796.92000000001</v>
      </c>
      <c r="AM380">
        <v>22295.599999999999</v>
      </c>
      <c r="AN380">
        <v>52662.6</v>
      </c>
      <c r="AO380">
        <v>66159.039999999994</v>
      </c>
      <c r="AP380">
        <v>189964.91</v>
      </c>
      <c r="AQ380">
        <v>58323.489999999903</v>
      </c>
      <c r="AR380">
        <v>178403.83</v>
      </c>
      <c r="AS380">
        <v>555967.76</v>
      </c>
      <c r="AT380">
        <v>29.937072000000001</v>
      </c>
      <c r="AU380">
        <v>29.068896912</v>
      </c>
      <c r="AV380">
        <v>15066409.269489599</v>
      </c>
      <c r="AW380">
        <v>19687917.41</v>
      </c>
      <c r="AX380">
        <v>1.3067425063163001</v>
      </c>
      <c r="AY380">
        <v>492908.98199999903</v>
      </c>
      <c r="AZ380">
        <v>0.99502384501214403</v>
      </c>
      <c r="BA380">
        <v>587293.90243902395</v>
      </c>
      <c r="BB380">
        <v>1.1855564785732899</v>
      </c>
      <c r="BC380">
        <v>22.515975960846401</v>
      </c>
    </row>
    <row r="381" spans="1:55" x14ac:dyDescent="0.2">
      <c r="A381" t="s">
        <v>797</v>
      </c>
      <c r="B381" t="s">
        <v>798</v>
      </c>
      <c r="C381">
        <v>0</v>
      </c>
      <c r="D381">
        <v>20</v>
      </c>
      <c r="E381">
        <v>80</v>
      </c>
      <c r="F381">
        <v>70</v>
      </c>
      <c r="G381">
        <v>40</v>
      </c>
      <c r="H381">
        <v>0</v>
      </c>
      <c r="I381">
        <v>210</v>
      </c>
      <c r="J381">
        <v>1766.34</v>
      </c>
      <c r="K381">
        <v>19983.599999999999</v>
      </c>
      <c r="L381">
        <v>13988.52</v>
      </c>
      <c r="M381">
        <v>3043.66</v>
      </c>
      <c r="N381">
        <v>1</v>
      </c>
      <c r="O381">
        <v>4611.6000000000004</v>
      </c>
      <c r="P381">
        <v>864000</v>
      </c>
      <c r="Q381">
        <v>1211.29</v>
      </c>
      <c r="R381">
        <v>575.36</v>
      </c>
      <c r="S381">
        <v>7786.89</v>
      </c>
      <c r="T381">
        <v>35185.19</v>
      </c>
      <c r="U381">
        <v>1</v>
      </c>
      <c r="V381">
        <v>20678.18</v>
      </c>
      <c r="W381">
        <v>7515.5</v>
      </c>
      <c r="X381">
        <v>36299.760000000002</v>
      </c>
      <c r="Y381">
        <v>713102.08</v>
      </c>
      <c r="Z381">
        <v>1211.29</v>
      </c>
      <c r="AA381">
        <v>575.36</v>
      </c>
      <c r="AB381">
        <v>7786.89</v>
      </c>
      <c r="AC381">
        <v>35185.19</v>
      </c>
      <c r="AD381">
        <v>1.3</v>
      </c>
      <c r="AE381">
        <v>2.75</v>
      </c>
      <c r="AF381">
        <v>2.85</v>
      </c>
      <c r="AG381">
        <v>10.96</v>
      </c>
      <c r="AH381">
        <v>0</v>
      </c>
      <c r="AI381">
        <v>0</v>
      </c>
      <c r="AJ381">
        <v>0</v>
      </c>
      <c r="AK381">
        <v>0</v>
      </c>
      <c r="AL381">
        <v>21889.47</v>
      </c>
      <c r="AM381">
        <v>8090.86</v>
      </c>
      <c r="AN381">
        <v>44086.65</v>
      </c>
      <c r="AO381">
        <v>748287.27</v>
      </c>
      <c r="AP381">
        <v>-6689.66</v>
      </c>
      <c r="AQ381">
        <v>-4471.84</v>
      </c>
      <c r="AR381">
        <v>-36298.76</v>
      </c>
      <c r="AS381">
        <v>-708490.48</v>
      </c>
      <c r="AT381">
        <v>0.453592</v>
      </c>
      <c r="AU381">
        <v>0.44043783199999997</v>
      </c>
      <c r="AV381">
        <v>3215.1961735999898</v>
      </c>
      <c r="AW381">
        <v>3270594.24</v>
      </c>
      <c r="AX381">
        <v>1017.2300735037099</v>
      </c>
      <c r="AY381">
        <v>22821.112799999999</v>
      </c>
      <c r="AZ381">
        <v>1.14199207350027</v>
      </c>
      <c r="BA381">
        <v>29110.975609755998</v>
      </c>
      <c r="BB381">
        <v>1.456743310002</v>
      </c>
      <c r="BC381">
        <v>19.7329536784741</v>
      </c>
    </row>
    <row r="382" spans="1:55" x14ac:dyDescent="0.2">
      <c r="A382" t="s">
        <v>799</v>
      </c>
      <c r="B382" t="s">
        <v>800</v>
      </c>
      <c r="C382">
        <v>400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400</v>
      </c>
      <c r="J382">
        <v>10525.51</v>
      </c>
      <c r="K382">
        <v>137596.91</v>
      </c>
      <c r="L382">
        <v>96317.84</v>
      </c>
      <c r="M382">
        <v>23339.19</v>
      </c>
      <c r="N382">
        <v>78131.16</v>
      </c>
      <c r="O382">
        <v>188856</v>
      </c>
      <c r="P382">
        <v>4284000</v>
      </c>
      <c r="Q382">
        <v>25085.27</v>
      </c>
      <c r="R382">
        <v>1546.57</v>
      </c>
      <c r="S382">
        <v>36432.730000000003</v>
      </c>
      <c r="T382">
        <v>235122.71</v>
      </c>
      <c r="U382">
        <v>75</v>
      </c>
      <c r="V382">
        <v>9142.1</v>
      </c>
      <c r="W382">
        <v>3480.71</v>
      </c>
      <c r="X382">
        <v>11013.71</v>
      </c>
      <c r="Y382">
        <v>84816.88</v>
      </c>
      <c r="Z382">
        <v>25085.27</v>
      </c>
      <c r="AA382">
        <v>1546.57</v>
      </c>
      <c r="AB382">
        <v>36432.730000000003</v>
      </c>
      <c r="AC382">
        <v>235122.71</v>
      </c>
      <c r="AD382">
        <v>1.29</v>
      </c>
      <c r="AE382">
        <v>0.84</v>
      </c>
      <c r="AF382">
        <v>0.9</v>
      </c>
      <c r="AG382">
        <v>2.88</v>
      </c>
      <c r="AH382">
        <v>4956</v>
      </c>
      <c r="AI382">
        <v>1780.8</v>
      </c>
      <c r="AJ382">
        <v>7173.6</v>
      </c>
      <c r="AK382">
        <v>45864</v>
      </c>
      <c r="AL382">
        <v>34227.370000000003</v>
      </c>
      <c r="AM382">
        <v>5027.28</v>
      </c>
      <c r="AN382">
        <v>47446.44</v>
      </c>
      <c r="AO382">
        <v>319939.58999999898</v>
      </c>
      <c r="AP382">
        <v>82219.739999999903</v>
      </c>
      <c r="AQ382">
        <v>18077.68</v>
      </c>
      <c r="AR382">
        <v>59943.85</v>
      </c>
      <c r="AS382">
        <v>58175.119999999901</v>
      </c>
      <c r="AT382">
        <v>34.019399999999997</v>
      </c>
      <c r="AU382">
        <v>33.032837399999998</v>
      </c>
      <c r="AV382">
        <v>4822794.2604</v>
      </c>
      <c r="AW382">
        <v>16216696.439999999</v>
      </c>
      <c r="AX382">
        <v>3.3625105207483998</v>
      </c>
      <c r="AY382">
        <v>135989.58919999999</v>
      </c>
      <c r="AZ382">
        <v>0.98831862721335795</v>
      </c>
      <c r="BA382">
        <v>146000</v>
      </c>
      <c r="BB382">
        <v>1.0610703394429399</v>
      </c>
      <c r="BC382">
        <v>26.313775</v>
      </c>
    </row>
    <row r="383" spans="1:55" x14ac:dyDescent="0.2">
      <c r="A383" t="s">
        <v>801</v>
      </c>
      <c r="B383" t="s">
        <v>802</v>
      </c>
      <c r="C383">
        <v>1250</v>
      </c>
      <c r="D383">
        <v>0</v>
      </c>
      <c r="E383">
        <v>772</v>
      </c>
      <c r="F383">
        <v>875</v>
      </c>
      <c r="G383">
        <v>0</v>
      </c>
      <c r="H383">
        <v>0</v>
      </c>
      <c r="I383">
        <v>2897</v>
      </c>
      <c r="J383">
        <v>49870.66</v>
      </c>
      <c r="K383">
        <v>596335.51</v>
      </c>
      <c r="L383">
        <v>417434.86</v>
      </c>
      <c r="M383">
        <v>101226.5</v>
      </c>
      <c r="N383">
        <v>248277.39</v>
      </c>
      <c r="O383">
        <v>590175</v>
      </c>
      <c r="P383">
        <v>76663320</v>
      </c>
      <c r="Q383">
        <v>141677.29999999999</v>
      </c>
      <c r="R383">
        <v>26983.64</v>
      </c>
      <c r="S383">
        <v>156501.42000000001</v>
      </c>
      <c r="T383">
        <v>1031066.31</v>
      </c>
      <c r="U383">
        <v>80</v>
      </c>
      <c r="V383">
        <v>0</v>
      </c>
      <c r="W383">
        <v>0</v>
      </c>
      <c r="X383">
        <v>0</v>
      </c>
      <c r="Y383">
        <v>0</v>
      </c>
      <c r="Z383">
        <v>141677.29999999999</v>
      </c>
      <c r="AA383">
        <v>26983.64</v>
      </c>
      <c r="AB383">
        <v>156501.42000000001</v>
      </c>
      <c r="AC383">
        <v>1031066.31</v>
      </c>
      <c r="AD383">
        <v>1.24</v>
      </c>
      <c r="AE383">
        <v>0.52</v>
      </c>
      <c r="AF383">
        <v>0.46</v>
      </c>
      <c r="AG383">
        <v>0.56000000000000005</v>
      </c>
      <c r="AH383">
        <v>62990.1</v>
      </c>
      <c r="AI383">
        <v>28047.040000000001</v>
      </c>
      <c r="AJ383">
        <v>135839.51999999999</v>
      </c>
      <c r="AK383">
        <v>651810.6</v>
      </c>
      <c r="AL383">
        <v>141677.29999999999</v>
      </c>
      <c r="AM383">
        <v>26983.64</v>
      </c>
      <c r="AN383">
        <v>156501.42000000001</v>
      </c>
      <c r="AO383">
        <v>1031066.31</v>
      </c>
      <c r="AP383">
        <v>354444.75999999902</v>
      </c>
      <c r="AQ383">
        <v>73179.459999999905</v>
      </c>
      <c r="AR383">
        <v>112437.87</v>
      </c>
      <c r="AS383">
        <v>-61635.599999999897</v>
      </c>
      <c r="AT383">
        <v>36.28736</v>
      </c>
      <c r="AU383">
        <v>35.235026560000001</v>
      </c>
      <c r="AV383">
        <v>16075980.868000001</v>
      </c>
      <c r="AW383">
        <v>290202098.16119999</v>
      </c>
      <c r="AX383">
        <v>18.0519061663516</v>
      </c>
      <c r="AY383">
        <v>644328.92720000003</v>
      </c>
      <c r="AZ383">
        <v>1.0804805623599301</v>
      </c>
      <c r="BA383">
        <v>676184.75609756098</v>
      </c>
      <c r="BB383">
        <v>1.1338998680416601</v>
      </c>
      <c r="BC383">
        <v>26.9198480679349</v>
      </c>
    </row>
    <row r="384" spans="1:55" x14ac:dyDescent="0.2">
      <c r="A384" t="s">
        <v>803</v>
      </c>
      <c r="B384" t="s">
        <v>804</v>
      </c>
      <c r="C384">
        <v>3050</v>
      </c>
      <c r="D384">
        <v>437</v>
      </c>
      <c r="E384">
        <v>750</v>
      </c>
      <c r="F384">
        <v>1000</v>
      </c>
      <c r="G384">
        <v>500</v>
      </c>
      <c r="H384">
        <v>0</v>
      </c>
      <c r="I384">
        <v>5737</v>
      </c>
      <c r="J384">
        <v>105177.03</v>
      </c>
      <c r="K384">
        <v>1321297.42</v>
      </c>
      <c r="L384">
        <v>924908.19</v>
      </c>
      <c r="M384">
        <v>218511.21</v>
      </c>
      <c r="N384">
        <v>595750.12</v>
      </c>
      <c r="O384">
        <v>1540790.46</v>
      </c>
      <c r="P384">
        <v>28890000</v>
      </c>
      <c r="Q384">
        <v>195654.03</v>
      </c>
      <c r="R384">
        <v>13716.4</v>
      </c>
      <c r="S384">
        <v>251984.54</v>
      </c>
      <c r="T384">
        <v>2020795.16</v>
      </c>
      <c r="U384">
        <v>75</v>
      </c>
      <c r="V384">
        <v>0</v>
      </c>
      <c r="W384">
        <v>0</v>
      </c>
      <c r="X384">
        <v>0</v>
      </c>
      <c r="Y384">
        <v>0</v>
      </c>
      <c r="Z384">
        <v>195654.03</v>
      </c>
      <c r="AA384">
        <v>13716.4</v>
      </c>
      <c r="AB384">
        <v>251984.54</v>
      </c>
      <c r="AC384">
        <v>2020795.16</v>
      </c>
      <c r="AD384">
        <v>1.36</v>
      </c>
      <c r="AE384">
        <v>0.52</v>
      </c>
      <c r="AF384">
        <v>1.5</v>
      </c>
      <c r="AG384">
        <v>2.89</v>
      </c>
      <c r="AH384">
        <v>271873.01</v>
      </c>
      <c r="AI384">
        <v>145443.72</v>
      </c>
      <c r="AJ384">
        <v>159287.56</v>
      </c>
      <c r="AK384">
        <v>10524654.449999999</v>
      </c>
      <c r="AL384">
        <v>195654.03</v>
      </c>
      <c r="AM384">
        <v>13716.4</v>
      </c>
      <c r="AN384">
        <v>251984.54</v>
      </c>
      <c r="AO384">
        <v>2020795.16</v>
      </c>
      <c r="AP384">
        <v>653035.179999999</v>
      </c>
      <c r="AQ384">
        <v>73067.489999999903</v>
      </c>
      <c r="AR384">
        <v>436462.56</v>
      </c>
      <c r="AS384">
        <v>-8983863.9899999909</v>
      </c>
      <c r="AT384">
        <v>34.019399999999997</v>
      </c>
      <c r="AU384">
        <v>33.032837399999998</v>
      </c>
      <c r="AV384">
        <v>42042708.965036899</v>
      </c>
      <c r="AW384">
        <v>109360494.90000001</v>
      </c>
      <c r="AX384">
        <v>2.6011762227534998</v>
      </c>
      <c r="AY384">
        <v>1358887.2275999901</v>
      </c>
      <c r="AZ384">
        <v>1.02844916445837</v>
      </c>
      <c r="BA384">
        <v>1528700.1219512101</v>
      </c>
      <c r="BB384">
        <v>1.15696897519955</v>
      </c>
      <c r="BC384">
        <v>24.402056565016299</v>
      </c>
    </row>
    <row r="385" spans="1:55" x14ac:dyDescent="0.2">
      <c r="A385" t="s">
        <v>805</v>
      </c>
      <c r="B385" t="s">
        <v>806</v>
      </c>
      <c r="C385">
        <v>250</v>
      </c>
      <c r="D385">
        <v>20</v>
      </c>
      <c r="E385">
        <v>30</v>
      </c>
      <c r="F385">
        <v>50</v>
      </c>
      <c r="G385">
        <v>15</v>
      </c>
      <c r="H385">
        <v>35</v>
      </c>
      <c r="I385">
        <v>400</v>
      </c>
      <c r="J385">
        <v>7482.52</v>
      </c>
      <c r="K385">
        <v>95601.54</v>
      </c>
      <c r="L385">
        <v>66921.08</v>
      </c>
      <c r="M385">
        <v>15761.58</v>
      </c>
      <c r="N385">
        <v>47020.28</v>
      </c>
      <c r="O385">
        <v>122646.6</v>
      </c>
      <c r="P385">
        <v>2480400</v>
      </c>
      <c r="Q385">
        <v>1549.88</v>
      </c>
      <c r="R385">
        <v>189.02</v>
      </c>
      <c r="S385">
        <v>937.88</v>
      </c>
      <c r="T385">
        <v>14968.13</v>
      </c>
      <c r="U385">
        <v>64</v>
      </c>
      <c r="V385">
        <v>0</v>
      </c>
      <c r="W385">
        <v>0</v>
      </c>
      <c r="X385">
        <v>0</v>
      </c>
      <c r="Y385">
        <v>0</v>
      </c>
      <c r="Z385">
        <v>1549.88</v>
      </c>
      <c r="AA385">
        <v>189.02</v>
      </c>
      <c r="AB385">
        <v>937.88</v>
      </c>
      <c r="AC385">
        <v>14968.13</v>
      </c>
      <c r="AD385">
        <v>1.28</v>
      </c>
      <c r="AE385">
        <v>1.55</v>
      </c>
      <c r="AF385">
        <v>0.21</v>
      </c>
      <c r="AG385">
        <v>1.1000000000000001</v>
      </c>
      <c r="AH385">
        <v>0</v>
      </c>
      <c r="AI385">
        <v>0</v>
      </c>
      <c r="AJ385">
        <v>0</v>
      </c>
      <c r="AK385">
        <v>0</v>
      </c>
      <c r="AL385">
        <v>1549.88</v>
      </c>
      <c r="AM385">
        <v>189.02</v>
      </c>
      <c r="AN385">
        <v>937.88</v>
      </c>
      <c r="AO385">
        <v>14968.13</v>
      </c>
      <c r="AP385">
        <v>66921.08</v>
      </c>
      <c r="AQ385">
        <v>15761.58</v>
      </c>
      <c r="AR385">
        <v>47020.28</v>
      </c>
      <c r="AS385">
        <v>122646.6</v>
      </c>
      <c r="AT385">
        <v>29.029888</v>
      </c>
      <c r="AU385">
        <v>28.188021247999998</v>
      </c>
      <c r="AV385">
        <v>2777929.4939903999</v>
      </c>
      <c r="AW385">
        <v>9389330.9639999997</v>
      </c>
      <c r="AX385">
        <v>3.3799745401430399</v>
      </c>
      <c r="AY385">
        <v>96674.1584</v>
      </c>
      <c r="AZ385">
        <v>1.0112196770052</v>
      </c>
      <c r="BA385">
        <v>111458.536585365</v>
      </c>
      <c r="BB385">
        <v>1.16586549322705</v>
      </c>
      <c r="BC385">
        <v>23.562466973886298</v>
      </c>
    </row>
    <row r="386" spans="1:55" x14ac:dyDescent="0.2">
      <c r="A386" t="s">
        <v>807</v>
      </c>
      <c r="B386" t="s">
        <v>808</v>
      </c>
      <c r="C386">
        <v>980</v>
      </c>
      <c r="D386">
        <v>77</v>
      </c>
      <c r="E386">
        <v>0</v>
      </c>
      <c r="F386">
        <v>0</v>
      </c>
      <c r="G386">
        <v>130</v>
      </c>
      <c r="H386">
        <v>0</v>
      </c>
      <c r="I386">
        <v>1187</v>
      </c>
      <c r="J386">
        <v>27367.61</v>
      </c>
      <c r="K386">
        <v>357864.62</v>
      </c>
      <c r="L386">
        <v>250505.23</v>
      </c>
      <c r="M386">
        <v>59512.07</v>
      </c>
      <c r="N386">
        <v>191421.35</v>
      </c>
      <c r="O386">
        <v>480451.86</v>
      </c>
      <c r="P386">
        <v>7274346</v>
      </c>
      <c r="Q386">
        <v>42161.25</v>
      </c>
      <c r="R386">
        <v>5455.39</v>
      </c>
      <c r="S386">
        <v>84535.59</v>
      </c>
      <c r="T386">
        <v>397185.21</v>
      </c>
      <c r="U386">
        <v>75</v>
      </c>
      <c r="V386">
        <v>62274.26</v>
      </c>
      <c r="W386">
        <v>25644.16</v>
      </c>
      <c r="X386">
        <v>57469.33</v>
      </c>
      <c r="Y386">
        <v>767305.82</v>
      </c>
      <c r="Z386">
        <v>42161.25</v>
      </c>
      <c r="AA386">
        <v>5455.39</v>
      </c>
      <c r="AB386">
        <v>84535.59</v>
      </c>
      <c r="AC386">
        <v>397185.21</v>
      </c>
      <c r="AD386">
        <v>1.27</v>
      </c>
      <c r="AE386">
        <v>1.71</v>
      </c>
      <c r="AF386">
        <v>1.53</v>
      </c>
      <c r="AG386">
        <v>2.96</v>
      </c>
      <c r="AH386">
        <v>12944.45</v>
      </c>
      <c r="AI386">
        <v>4847.04</v>
      </c>
      <c r="AJ386">
        <v>14541.12</v>
      </c>
      <c r="AK386">
        <v>0</v>
      </c>
      <c r="AL386">
        <v>104435.51</v>
      </c>
      <c r="AM386">
        <v>31099.55</v>
      </c>
      <c r="AN386">
        <v>142004.91999999899</v>
      </c>
      <c r="AO386">
        <v>1164491.03</v>
      </c>
      <c r="AP386">
        <v>175286.519999999</v>
      </c>
      <c r="AQ386">
        <v>29020.87</v>
      </c>
      <c r="AR386">
        <v>119410.9</v>
      </c>
      <c r="AS386">
        <v>-286853.95999999897</v>
      </c>
      <c r="AT386">
        <v>34.019399999999997</v>
      </c>
      <c r="AU386">
        <v>33.032837399999998</v>
      </c>
      <c r="AV386">
        <v>12744233.8331069</v>
      </c>
      <c r="AW386">
        <v>27536382.09186</v>
      </c>
      <c r="AX386">
        <v>2.1606934126024799</v>
      </c>
      <c r="AY386">
        <v>353589.52120000002</v>
      </c>
      <c r="AZ386">
        <v>0.98805386573280096</v>
      </c>
      <c r="BA386">
        <v>391591.58536585298</v>
      </c>
      <c r="BB386">
        <v>1.0942450398305701</v>
      </c>
      <c r="BC386">
        <v>24.776911917327201</v>
      </c>
    </row>
    <row r="387" spans="1:55" x14ac:dyDescent="0.2">
      <c r="A387" t="s">
        <v>809</v>
      </c>
      <c r="B387" t="s">
        <v>810</v>
      </c>
      <c r="C387">
        <v>900</v>
      </c>
      <c r="D387">
        <v>200</v>
      </c>
      <c r="E387">
        <v>370</v>
      </c>
      <c r="F387">
        <v>0</v>
      </c>
      <c r="G387">
        <v>125</v>
      </c>
      <c r="H387">
        <v>125</v>
      </c>
      <c r="I387">
        <v>1720</v>
      </c>
      <c r="J387">
        <v>28663.13</v>
      </c>
      <c r="K387">
        <v>366516.29</v>
      </c>
      <c r="L387">
        <v>256561.4</v>
      </c>
      <c r="M387">
        <v>59116.19</v>
      </c>
      <c r="N387">
        <v>163936.72</v>
      </c>
      <c r="O387">
        <v>471042</v>
      </c>
      <c r="P387">
        <v>13209500</v>
      </c>
      <c r="Q387">
        <v>73038.289999999994</v>
      </c>
      <c r="R387">
        <v>5467.29</v>
      </c>
      <c r="S387">
        <v>122973.84</v>
      </c>
      <c r="T387">
        <v>678096.42</v>
      </c>
      <c r="U387">
        <v>55</v>
      </c>
      <c r="V387">
        <v>7426.64</v>
      </c>
      <c r="W387">
        <v>1677.73</v>
      </c>
      <c r="X387">
        <v>3047.62</v>
      </c>
      <c r="Y387">
        <v>141606.39999999999</v>
      </c>
      <c r="Z387">
        <v>29275.11</v>
      </c>
      <c r="AA387">
        <v>1865.85</v>
      </c>
      <c r="AB387">
        <v>41810.370000000003</v>
      </c>
      <c r="AC387">
        <v>216601.23</v>
      </c>
      <c r="AD387">
        <v>1.34</v>
      </c>
      <c r="AE387">
        <v>0.4</v>
      </c>
      <c r="AF387">
        <v>0.7</v>
      </c>
      <c r="AG387">
        <v>8.77</v>
      </c>
      <c r="AH387">
        <v>99699.96</v>
      </c>
      <c r="AI387">
        <v>11925.39</v>
      </c>
      <c r="AJ387">
        <v>118388.8</v>
      </c>
      <c r="AK387">
        <v>894351.39</v>
      </c>
      <c r="AL387">
        <v>36701.75</v>
      </c>
      <c r="AM387">
        <v>3543.58</v>
      </c>
      <c r="AN387">
        <v>44857.99</v>
      </c>
      <c r="AO387">
        <v>358207.63</v>
      </c>
      <c r="AP387">
        <v>193197.97999999899</v>
      </c>
      <c r="AQ387">
        <v>49114.51</v>
      </c>
      <c r="AR387">
        <v>123663.77</v>
      </c>
      <c r="AS387">
        <v>-103420.6</v>
      </c>
      <c r="AT387">
        <v>24.947559999999999</v>
      </c>
      <c r="AU387">
        <v>24.22408076</v>
      </c>
      <c r="AV387">
        <v>9725968.4251400009</v>
      </c>
      <c r="AW387">
        <v>50003373.395000003</v>
      </c>
      <c r="AX387">
        <v>5.1412230853793002</v>
      </c>
      <c r="AY387">
        <v>370327.63959999999</v>
      </c>
      <c r="AZ387">
        <v>1.01039885457751</v>
      </c>
      <c r="BA387">
        <v>462036.58536585298</v>
      </c>
      <c r="BB387">
        <v>1.26061678013234</v>
      </c>
      <c r="BC387">
        <v>21.6027266544117</v>
      </c>
    </row>
    <row r="388" spans="1:55" x14ac:dyDescent="0.2">
      <c r="A388" t="s">
        <v>811</v>
      </c>
      <c r="B388" t="s">
        <v>812</v>
      </c>
      <c r="C388">
        <v>0</v>
      </c>
      <c r="D388">
        <v>0</v>
      </c>
      <c r="E388">
        <v>195</v>
      </c>
      <c r="F388">
        <v>45</v>
      </c>
      <c r="G388">
        <v>150</v>
      </c>
      <c r="H388">
        <v>220</v>
      </c>
      <c r="I388">
        <v>610</v>
      </c>
      <c r="J388">
        <v>3725.63</v>
      </c>
      <c r="K388">
        <v>41797.199999999997</v>
      </c>
      <c r="L388">
        <v>29258.04</v>
      </c>
      <c r="M388">
        <v>5205.62</v>
      </c>
      <c r="N388">
        <v>1</v>
      </c>
      <c r="O388">
        <v>0</v>
      </c>
      <c r="P388">
        <v>1803000</v>
      </c>
      <c r="Q388">
        <v>7877.26</v>
      </c>
      <c r="R388">
        <v>1272.78</v>
      </c>
      <c r="S388">
        <v>49339.48</v>
      </c>
      <c r="T388">
        <v>124376.38</v>
      </c>
      <c r="U388">
        <v>1</v>
      </c>
      <c r="V388">
        <v>3705.41</v>
      </c>
      <c r="W388">
        <v>1719.6</v>
      </c>
      <c r="X388">
        <v>7118.52</v>
      </c>
      <c r="Y388">
        <v>129262.03</v>
      </c>
      <c r="Z388">
        <v>2050.37</v>
      </c>
      <c r="AA388">
        <v>378.53</v>
      </c>
      <c r="AB388">
        <v>6529.63</v>
      </c>
      <c r="AC388">
        <v>31859.54</v>
      </c>
      <c r="AD388">
        <v>1.78</v>
      </c>
      <c r="AE388">
        <v>3.13</v>
      </c>
      <c r="AF388">
        <v>1.34</v>
      </c>
      <c r="AG388">
        <v>2.2200000000000002</v>
      </c>
      <c r="AH388">
        <v>22409.9</v>
      </c>
      <c r="AI388">
        <v>12560.03</v>
      </c>
      <c r="AJ388">
        <v>80590.25</v>
      </c>
      <c r="AK388">
        <v>990882.84</v>
      </c>
      <c r="AL388">
        <v>5755.78</v>
      </c>
      <c r="AM388">
        <v>2098.13</v>
      </c>
      <c r="AN388">
        <v>13648.15</v>
      </c>
      <c r="AO388">
        <v>161121.57</v>
      </c>
      <c r="AP388">
        <v>8969.6200000000008</v>
      </c>
      <c r="AQ388">
        <v>-8179.76</v>
      </c>
      <c r="AR388">
        <v>-44897.919999999998</v>
      </c>
      <c r="AS388">
        <v>-1027628.03</v>
      </c>
      <c r="AT388">
        <v>0.453592</v>
      </c>
      <c r="AU388">
        <v>0.44043783199999997</v>
      </c>
      <c r="AV388">
        <v>0</v>
      </c>
      <c r="AW388">
        <v>6825094.2300000004</v>
      </c>
      <c r="AY388">
        <v>48135.139600000002</v>
      </c>
      <c r="AZ388">
        <v>1.15163550668465</v>
      </c>
      <c r="BA388">
        <v>48518.292682926804</v>
      </c>
      <c r="BB388">
        <v>1.1608024624359199</v>
      </c>
      <c r="BC388">
        <v>16.694079781420701</v>
      </c>
    </row>
    <row r="389" spans="1:55" x14ac:dyDescent="0.2">
      <c r="A389" t="s">
        <v>813</v>
      </c>
      <c r="B389" t="s">
        <v>814</v>
      </c>
      <c r="C389">
        <v>2000</v>
      </c>
      <c r="D389">
        <v>295</v>
      </c>
      <c r="E389">
        <v>400</v>
      </c>
      <c r="F389">
        <v>460</v>
      </c>
      <c r="G389">
        <v>290</v>
      </c>
      <c r="H389">
        <v>275</v>
      </c>
      <c r="I389">
        <v>3720</v>
      </c>
      <c r="J389">
        <v>67750.89</v>
      </c>
      <c r="K389">
        <v>852757.74</v>
      </c>
      <c r="L389">
        <v>596930.42000000004</v>
      </c>
      <c r="M389">
        <v>139718.64000000001</v>
      </c>
      <c r="N389">
        <v>390655.82</v>
      </c>
      <c r="O389">
        <v>1012301.1</v>
      </c>
      <c r="P389">
        <v>53947200</v>
      </c>
      <c r="Q389">
        <v>117110.68</v>
      </c>
      <c r="R389">
        <v>13040.18</v>
      </c>
      <c r="S389">
        <v>277253.65999999997</v>
      </c>
      <c r="T389">
        <v>200740.99</v>
      </c>
      <c r="U389">
        <v>75</v>
      </c>
      <c r="V389">
        <v>142492.1</v>
      </c>
      <c r="W389">
        <v>47917.7</v>
      </c>
      <c r="X389">
        <v>66832.58</v>
      </c>
      <c r="Y389">
        <v>9470049.9199999999</v>
      </c>
      <c r="Z389">
        <v>104451.75</v>
      </c>
      <c r="AA389">
        <v>11320.7</v>
      </c>
      <c r="AB389">
        <v>254104.85</v>
      </c>
      <c r="AC389">
        <v>103026.49</v>
      </c>
      <c r="AD389">
        <v>1.1100000000000001</v>
      </c>
      <c r="AE389">
        <v>1.23</v>
      </c>
      <c r="AF389">
        <v>1.04</v>
      </c>
      <c r="AG389">
        <v>7.87</v>
      </c>
      <c r="AH389">
        <v>12658.93</v>
      </c>
      <c r="AI389">
        <v>1719.48</v>
      </c>
      <c r="AJ389">
        <v>23148.81</v>
      </c>
      <c r="AK389">
        <v>97714.51</v>
      </c>
      <c r="AL389">
        <v>246943.85</v>
      </c>
      <c r="AM389">
        <v>59238.3999999999</v>
      </c>
      <c r="AN389">
        <v>320937.43</v>
      </c>
      <c r="AO389">
        <v>9573076.4100000001</v>
      </c>
      <c r="AP389">
        <v>454438.32</v>
      </c>
      <c r="AQ389">
        <v>91800.94</v>
      </c>
      <c r="AR389">
        <v>323823.24</v>
      </c>
      <c r="AS389">
        <v>-8457748.8300000001</v>
      </c>
      <c r="AT389">
        <v>34.019399999999997</v>
      </c>
      <c r="AU389">
        <v>33.032837399999998</v>
      </c>
      <c r="AV389">
        <v>27670782.069045</v>
      </c>
      <c r="AW389">
        <v>204212270.352</v>
      </c>
      <c r="AX389">
        <v>7.3800686168696998</v>
      </c>
      <c r="AY389">
        <v>875341.49879999994</v>
      </c>
      <c r="AZ389">
        <v>1.0264832058868201</v>
      </c>
      <c r="BA389">
        <v>977665.85365853598</v>
      </c>
      <c r="BB389">
        <v>1.1464754968492401</v>
      </c>
      <c r="BC389">
        <v>24.0563478825669</v>
      </c>
    </row>
    <row r="390" spans="1:55" x14ac:dyDescent="0.2">
      <c r="A390" t="s">
        <v>815</v>
      </c>
      <c r="B390" t="s">
        <v>816</v>
      </c>
      <c r="C390">
        <v>585</v>
      </c>
      <c r="D390">
        <v>55</v>
      </c>
      <c r="E390">
        <v>125</v>
      </c>
      <c r="F390">
        <v>115</v>
      </c>
      <c r="G390">
        <v>0</v>
      </c>
      <c r="H390">
        <v>0</v>
      </c>
      <c r="I390">
        <v>880</v>
      </c>
      <c r="J390">
        <v>19292.150000000001</v>
      </c>
      <c r="K390">
        <v>244040.18</v>
      </c>
      <c r="L390">
        <v>170828.13</v>
      </c>
      <c r="M390">
        <v>41147.69</v>
      </c>
      <c r="N390">
        <v>118506.21</v>
      </c>
      <c r="O390">
        <v>288883.8</v>
      </c>
      <c r="P390">
        <v>4800000</v>
      </c>
      <c r="Q390">
        <v>20418.919999999998</v>
      </c>
      <c r="R390">
        <v>2569.59</v>
      </c>
      <c r="S390">
        <v>26816.240000000002</v>
      </c>
      <c r="T390">
        <v>120268.14</v>
      </c>
      <c r="U390">
        <v>86</v>
      </c>
      <c r="V390">
        <v>0</v>
      </c>
      <c r="W390">
        <v>0</v>
      </c>
      <c r="X390">
        <v>0</v>
      </c>
      <c r="Y390">
        <v>0</v>
      </c>
      <c r="Z390">
        <v>20418.919999999998</v>
      </c>
      <c r="AA390">
        <v>2569.59</v>
      </c>
      <c r="AB390">
        <v>26816.240000000002</v>
      </c>
      <c r="AC390">
        <v>120268.14</v>
      </c>
      <c r="AD390">
        <v>1.41</v>
      </c>
      <c r="AE390">
        <v>0.9</v>
      </c>
      <c r="AF390">
        <v>1.27</v>
      </c>
      <c r="AG390">
        <v>2</v>
      </c>
      <c r="AH390">
        <v>79791.820000000007</v>
      </c>
      <c r="AI390">
        <v>28552.93</v>
      </c>
      <c r="AJ390">
        <v>62843.37</v>
      </c>
      <c r="AK390">
        <v>4490272.59</v>
      </c>
      <c r="AL390">
        <v>20418.919999999998</v>
      </c>
      <c r="AM390">
        <v>2569.59</v>
      </c>
      <c r="AN390">
        <v>26816.240000000002</v>
      </c>
      <c r="AO390">
        <v>120268.14</v>
      </c>
      <c r="AP390">
        <v>91036.31</v>
      </c>
      <c r="AQ390">
        <v>12594.76</v>
      </c>
      <c r="AR390">
        <v>55662.84</v>
      </c>
      <c r="AS390">
        <v>-4201388.79</v>
      </c>
      <c r="AT390">
        <v>39.008912000000002</v>
      </c>
      <c r="AU390">
        <v>37.877653551999998</v>
      </c>
      <c r="AV390">
        <v>8848219.8697471991</v>
      </c>
      <c r="AW390">
        <v>18169968</v>
      </c>
      <c r="AX390">
        <v>2.0535167827513598</v>
      </c>
      <c r="AY390">
        <v>249254.57800000001</v>
      </c>
      <c r="AZ390">
        <v>1.0213669650628801</v>
      </c>
      <c r="BA390">
        <v>265648.78048780398</v>
      </c>
      <c r="BB390">
        <v>1.0885452571285701</v>
      </c>
      <c r="BC390">
        <v>26.507310656836399</v>
      </c>
    </row>
    <row r="391" spans="1:55" x14ac:dyDescent="0.2">
      <c r="A391" t="s">
        <v>817</v>
      </c>
      <c r="B391" t="s">
        <v>818</v>
      </c>
      <c r="C391">
        <v>2210</v>
      </c>
      <c r="D391">
        <v>275</v>
      </c>
      <c r="E391">
        <v>540</v>
      </c>
      <c r="F391">
        <v>375</v>
      </c>
      <c r="G391">
        <v>465</v>
      </c>
      <c r="H391">
        <v>0</v>
      </c>
      <c r="I391">
        <v>3865</v>
      </c>
      <c r="J391">
        <v>72724.81</v>
      </c>
      <c r="K391">
        <v>921445.91</v>
      </c>
      <c r="L391">
        <v>645012.14</v>
      </c>
      <c r="M391">
        <v>152011.98000000001</v>
      </c>
      <c r="N391">
        <v>431674.68</v>
      </c>
      <c r="O391">
        <v>1106838.8999999999</v>
      </c>
      <c r="P391">
        <v>67824000</v>
      </c>
      <c r="Q391">
        <v>200827.04</v>
      </c>
      <c r="R391">
        <v>24450.28</v>
      </c>
      <c r="S391">
        <v>279758.31</v>
      </c>
      <c r="T391">
        <v>1438735.41</v>
      </c>
      <c r="U391">
        <v>75</v>
      </c>
      <c r="V391">
        <v>89738.72</v>
      </c>
      <c r="W391">
        <v>20708.939999999999</v>
      </c>
      <c r="X391">
        <v>32789.15</v>
      </c>
      <c r="Y391">
        <v>0</v>
      </c>
      <c r="Z391">
        <v>200827.04</v>
      </c>
      <c r="AA391">
        <v>24450.28</v>
      </c>
      <c r="AB391">
        <v>279758.31</v>
      </c>
      <c r="AC391">
        <v>1438735.41</v>
      </c>
      <c r="AD391">
        <v>1.27</v>
      </c>
      <c r="AE391">
        <v>0.94</v>
      </c>
      <c r="AF391">
        <v>1.1299999999999999</v>
      </c>
      <c r="AG391">
        <v>2.25</v>
      </c>
      <c r="AH391">
        <v>56876.55</v>
      </c>
      <c r="AI391">
        <v>18534.599999999999</v>
      </c>
      <c r="AJ391">
        <v>31928.05</v>
      </c>
      <c r="AK391">
        <v>1029622.1</v>
      </c>
      <c r="AL391">
        <v>290565.76000000001</v>
      </c>
      <c r="AM391">
        <v>45159.22</v>
      </c>
      <c r="AN391">
        <v>312547.46000000002</v>
      </c>
      <c r="AO391">
        <v>1438735.41</v>
      </c>
      <c r="AP391">
        <v>498396.87</v>
      </c>
      <c r="AQ391">
        <v>112768.44</v>
      </c>
      <c r="AR391">
        <v>366957.48</v>
      </c>
      <c r="AS391">
        <v>77216.799999999697</v>
      </c>
      <c r="AT391">
        <v>34.019399999999997</v>
      </c>
      <c r="AU391">
        <v>33.032837399999998</v>
      </c>
      <c r="AV391">
        <v>29961609.342735</v>
      </c>
      <c r="AW391">
        <v>256741647.84</v>
      </c>
      <c r="AX391">
        <v>8.5690206057724296</v>
      </c>
      <c r="AY391">
        <v>939604.545199999</v>
      </c>
      <c r="AZ391">
        <v>1.0197066751319099</v>
      </c>
      <c r="BA391">
        <v>1049909.1463414601</v>
      </c>
      <c r="BB391">
        <v>1.1394148424202799</v>
      </c>
      <c r="BC391">
        <v>24.323671003793201</v>
      </c>
    </row>
    <row r="392" spans="1:55" x14ac:dyDescent="0.2">
      <c r="A392" t="s">
        <v>819</v>
      </c>
      <c r="B392" t="s">
        <v>820</v>
      </c>
      <c r="C392">
        <v>575</v>
      </c>
      <c r="D392">
        <v>0</v>
      </c>
      <c r="E392">
        <v>1000</v>
      </c>
      <c r="F392">
        <v>0</v>
      </c>
      <c r="G392">
        <v>0</v>
      </c>
      <c r="H392">
        <v>0</v>
      </c>
      <c r="I392">
        <v>1575</v>
      </c>
      <c r="J392">
        <v>25147.06</v>
      </c>
      <c r="K392">
        <v>291186.09000000003</v>
      </c>
      <c r="L392">
        <v>203830.26</v>
      </c>
      <c r="M392">
        <v>49328.73</v>
      </c>
      <c r="N392">
        <v>111555.93</v>
      </c>
      <c r="O392">
        <v>271480.5</v>
      </c>
      <c r="P392">
        <v>11460000</v>
      </c>
      <c r="Q392">
        <v>58854.16</v>
      </c>
      <c r="R392">
        <v>5793.7</v>
      </c>
      <c r="S392">
        <v>61302.7</v>
      </c>
      <c r="T392">
        <v>462947.22</v>
      </c>
      <c r="U392">
        <v>73</v>
      </c>
      <c r="V392">
        <v>6073.42</v>
      </c>
      <c r="W392">
        <v>552.99</v>
      </c>
      <c r="X392">
        <v>1895.29</v>
      </c>
      <c r="Y392">
        <v>50336.160000000003</v>
      </c>
      <c r="Z392">
        <v>45314.6</v>
      </c>
      <c r="AA392">
        <v>4590.67</v>
      </c>
      <c r="AB392">
        <v>46638.83</v>
      </c>
      <c r="AC392">
        <v>358268.37</v>
      </c>
      <c r="AD392">
        <v>1.25</v>
      </c>
      <c r="AE392">
        <v>0.56000000000000005</v>
      </c>
      <c r="AF392">
        <v>0.71</v>
      </c>
      <c r="AG392">
        <v>1.56</v>
      </c>
      <c r="AH392">
        <v>114544.84</v>
      </c>
      <c r="AI392">
        <v>20251.2</v>
      </c>
      <c r="AJ392">
        <v>47078.18</v>
      </c>
      <c r="AK392">
        <v>962058.45</v>
      </c>
      <c r="AL392">
        <v>51388.02</v>
      </c>
      <c r="AM392">
        <v>5143.66</v>
      </c>
      <c r="AN392">
        <v>48534.12</v>
      </c>
      <c r="AO392">
        <v>408604.53</v>
      </c>
      <c r="AP392">
        <v>96751.56</v>
      </c>
      <c r="AQ392">
        <v>29727.57</v>
      </c>
      <c r="AR392">
        <v>77246.33</v>
      </c>
      <c r="AS392">
        <v>-636235.26</v>
      </c>
      <c r="AT392">
        <v>33.112215999999997</v>
      </c>
      <c r="AU392">
        <v>32.151961735999997</v>
      </c>
      <c r="AV392">
        <v>6747892.9693429898</v>
      </c>
      <c r="AW392">
        <v>43380798.600000001</v>
      </c>
      <c r="AX392">
        <v>6.4287917424131402</v>
      </c>
      <c r="AY392">
        <v>324900.01520000002</v>
      </c>
      <c r="AZ392">
        <v>1.1157813726610299</v>
      </c>
      <c r="BA392">
        <v>343411.58536585298</v>
      </c>
      <c r="BB392">
        <v>1.17935436189913</v>
      </c>
      <c r="BC392">
        <v>26.727918600129598</v>
      </c>
    </row>
    <row r="393" spans="1:55" x14ac:dyDescent="0.2">
      <c r="A393" t="s">
        <v>821</v>
      </c>
      <c r="B393" t="s">
        <v>822</v>
      </c>
      <c r="C393">
        <v>765</v>
      </c>
      <c r="D393">
        <v>90</v>
      </c>
      <c r="E393">
        <v>380</v>
      </c>
      <c r="F393">
        <v>280</v>
      </c>
      <c r="G393">
        <v>145</v>
      </c>
      <c r="H393">
        <v>125</v>
      </c>
      <c r="I393">
        <v>1785</v>
      </c>
      <c r="J393">
        <v>28920.23</v>
      </c>
      <c r="K393">
        <v>357441.56</v>
      </c>
      <c r="L393">
        <v>250209.09</v>
      </c>
      <c r="M393">
        <v>58633.63</v>
      </c>
      <c r="N393">
        <v>149929.82999999999</v>
      </c>
      <c r="O393">
        <v>381939.3</v>
      </c>
      <c r="P393">
        <v>11736000</v>
      </c>
      <c r="Q393">
        <v>62758.19</v>
      </c>
      <c r="R393">
        <v>8781.16</v>
      </c>
      <c r="S393">
        <v>72225.27</v>
      </c>
      <c r="T393">
        <v>490698.52</v>
      </c>
      <c r="U393">
        <v>76</v>
      </c>
      <c r="V393">
        <v>0</v>
      </c>
      <c r="W393">
        <v>0</v>
      </c>
      <c r="X393">
        <v>0</v>
      </c>
      <c r="Y393">
        <v>0</v>
      </c>
      <c r="Z393">
        <v>62758.19</v>
      </c>
      <c r="AA393">
        <v>8781.16</v>
      </c>
      <c r="AB393">
        <v>72225.27</v>
      </c>
      <c r="AC393">
        <v>490698.52</v>
      </c>
      <c r="AD393">
        <v>1.08</v>
      </c>
      <c r="AE393">
        <v>0.74</v>
      </c>
      <c r="AF393">
        <v>1</v>
      </c>
      <c r="AG393">
        <v>2.13</v>
      </c>
      <c r="AH393">
        <v>113064.16</v>
      </c>
      <c r="AI393">
        <v>37554.879999999997</v>
      </c>
      <c r="AJ393">
        <v>94686.24</v>
      </c>
      <c r="AK393">
        <v>0</v>
      </c>
      <c r="AL393">
        <v>62758.19</v>
      </c>
      <c r="AM393">
        <v>8781.16</v>
      </c>
      <c r="AN393">
        <v>72225.27</v>
      </c>
      <c r="AO393">
        <v>490698.52</v>
      </c>
      <c r="AP393">
        <v>137144.93</v>
      </c>
      <c r="AQ393">
        <v>21078.749999999902</v>
      </c>
      <c r="AR393">
        <v>55243.589999999902</v>
      </c>
      <c r="AS393">
        <v>381939.3</v>
      </c>
      <c r="AT393">
        <v>34.472991999999998</v>
      </c>
      <c r="AU393">
        <v>33.473275231999999</v>
      </c>
      <c r="AV393">
        <v>10446172.3680264</v>
      </c>
      <c r="AW393">
        <v>44425571.759999998</v>
      </c>
      <c r="AX393">
        <v>4.2528086072921401</v>
      </c>
      <c r="AY393">
        <v>373649.37160000001</v>
      </c>
      <c r="AZ393">
        <v>1.0453439482526801</v>
      </c>
      <c r="BA393">
        <v>412227.43902439001</v>
      </c>
      <c r="BB393">
        <v>1.1532722692470001</v>
      </c>
      <c r="BC393">
        <v>24.1960908070605</v>
      </c>
    </row>
    <row r="394" spans="1:55" x14ac:dyDescent="0.2">
      <c r="A394" t="s">
        <v>823</v>
      </c>
      <c r="B394" t="s">
        <v>824</v>
      </c>
      <c r="C394">
        <v>3050</v>
      </c>
      <c r="D394">
        <v>450</v>
      </c>
      <c r="E394">
        <v>950</v>
      </c>
      <c r="F394">
        <v>725</v>
      </c>
      <c r="G394">
        <v>425</v>
      </c>
      <c r="H394">
        <v>0</v>
      </c>
      <c r="I394">
        <v>5600</v>
      </c>
      <c r="J394">
        <v>103530.73</v>
      </c>
      <c r="K394">
        <v>1293924.72</v>
      </c>
      <c r="L394">
        <v>905747.3</v>
      </c>
      <c r="M394">
        <v>213894.08</v>
      </c>
      <c r="N394">
        <v>587712.76</v>
      </c>
      <c r="O394">
        <v>1543788</v>
      </c>
      <c r="P394">
        <v>47507130</v>
      </c>
      <c r="Q394">
        <v>277095.15000000002</v>
      </c>
      <c r="R394">
        <v>27658.41</v>
      </c>
      <c r="S394">
        <v>331220.34000000003</v>
      </c>
      <c r="T394">
        <v>2331411.09</v>
      </c>
      <c r="U394">
        <v>71</v>
      </c>
      <c r="V394">
        <v>143205.93</v>
      </c>
      <c r="W394">
        <v>46398.87</v>
      </c>
      <c r="X394">
        <v>160112.98000000001</v>
      </c>
      <c r="Y394">
        <v>1456017.12</v>
      </c>
      <c r="Z394">
        <v>277095.15000000002</v>
      </c>
      <c r="AA394">
        <v>27658.41</v>
      </c>
      <c r="AB394">
        <v>331220.34000000003</v>
      </c>
      <c r="AC394">
        <v>2331411.09</v>
      </c>
      <c r="AD394">
        <v>1.36</v>
      </c>
      <c r="AE394">
        <v>1.1599999999999999</v>
      </c>
      <c r="AF394">
        <v>1</v>
      </c>
      <c r="AG394">
        <v>3.19</v>
      </c>
      <c r="AH394">
        <v>0</v>
      </c>
      <c r="AI394">
        <v>0</v>
      </c>
      <c r="AJ394">
        <v>0</v>
      </c>
      <c r="AK394">
        <v>0</v>
      </c>
      <c r="AL394">
        <v>420301.08</v>
      </c>
      <c r="AM394">
        <v>74057.279999999999</v>
      </c>
      <c r="AN394">
        <v>491333.32</v>
      </c>
      <c r="AO394">
        <v>3787428.21</v>
      </c>
      <c r="AP394">
        <v>762541.37</v>
      </c>
      <c r="AQ394">
        <v>167495.21</v>
      </c>
      <c r="AR394">
        <v>427599.78</v>
      </c>
      <c r="AS394">
        <v>87770.879999999801</v>
      </c>
      <c r="AT394">
        <v>32.205032000000003</v>
      </c>
      <c r="AU394">
        <v>31.271086071999999</v>
      </c>
      <c r="AV394">
        <v>39948812.456979997</v>
      </c>
      <c r="AW394">
        <v>179833964.97330001</v>
      </c>
      <c r="AX394">
        <v>4.5016097829430901</v>
      </c>
      <c r="AY394">
        <v>1337617.0315999901</v>
      </c>
      <c r="AZ394">
        <v>1.03376727480714</v>
      </c>
      <c r="BA394">
        <v>1520091.4634146299</v>
      </c>
      <c r="BB394">
        <v>1.17479126870273</v>
      </c>
      <c r="BC394">
        <v>24.255771028571399</v>
      </c>
    </row>
    <row r="395" spans="1:55" x14ac:dyDescent="0.2">
      <c r="A395" t="s">
        <v>825</v>
      </c>
      <c r="B395" t="s">
        <v>826</v>
      </c>
      <c r="C395">
        <v>990</v>
      </c>
      <c r="D395">
        <v>160</v>
      </c>
      <c r="E395">
        <v>600</v>
      </c>
      <c r="F395">
        <v>550</v>
      </c>
      <c r="G395">
        <v>200</v>
      </c>
      <c r="H395">
        <v>190</v>
      </c>
      <c r="I395">
        <v>2690</v>
      </c>
      <c r="J395">
        <v>41045.74</v>
      </c>
      <c r="K395">
        <v>497726.67</v>
      </c>
      <c r="L395">
        <v>348408.67</v>
      </c>
      <c r="M395">
        <v>81282.100000000006</v>
      </c>
      <c r="N395">
        <v>192722.42</v>
      </c>
      <c r="O395">
        <v>504311.4</v>
      </c>
      <c r="P395">
        <v>22712400</v>
      </c>
      <c r="Q395">
        <v>124030.84</v>
      </c>
      <c r="R395">
        <v>12405.62</v>
      </c>
      <c r="S395">
        <v>150211.23000000001</v>
      </c>
      <c r="T395">
        <v>1207844.82</v>
      </c>
      <c r="U395">
        <v>74</v>
      </c>
      <c r="V395">
        <v>89806.43</v>
      </c>
      <c r="W395">
        <v>24744.61</v>
      </c>
      <c r="X395">
        <v>87972.53</v>
      </c>
      <c r="Y395">
        <v>4737919.68</v>
      </c>
      <c r="Z395">
        <v>124030.84</v>
      </c>
      <c r="AA395">
        <v>12405.62</v>
      </c>
      <c r="AB395">
        <v>150211.23000000001</v>
      </c>
      <c r="AC395">
        <v>1207844.82</v>
      </c>
      <c r="AD395">
        <v>0.89</v>
      </c>
      <c r="AE395">
        <v>0.95</v>
      </c>
      <c r="AF395">
        <v>0.72</v>
      </c>
      <c r="AG395">
        <v>4.47</v>
      </c>
      <c r="AH395">
        <v>0</v>
      </c>
      <c r="AI395">
        <v>0</v>
      </c>
      <c r="AJ395">
        <v>0</v>
      </c>
      <c r="AK395">
        <v>0</v>
      </c>
      <c r="AL395">
        <v>213837.27</v>
      </c>
      <c r="AM395">
        <v>37150.230000000003</v>
      </c>
      <c r="AN395">
        <v>238183.76</v>
      </c>
      <c r="AO395">
        <v>5945764.5</v>
      </c>
      <c r="AP395">
        <v>258602.23999999999</v>
      </c>
      <c r="AQ395">
        <v>56537.49</v>
      </c>
      <c r="AR395">
        <v>104749.89</v>
      </c>
      <c r="AS395">
        <v>-4233608.27999999</v>
      </c>
      <c r="AT395">
        <v>33.565807999999997</v>
      </c>
      <c r="AU395">
        <v>32.592399567999998</v>
      </c>
      <c r="AV395">
        <v>13680659.7186679</v>
      </c>
      <c r="AW395">
        <v>85975746.084000006</v>
      </c>
      <c r="AX395">
        <v>6.2844736914756698</v>
      </c>
      <c r="AY395">
        <v>530310.9608</v>
      </c>
      <c r="AZ395">
        <v>1.0654662343088801</v>
      </c>
      <c r="BA395">
        <v>590676.82926829194</v>
      </c>
      <c r="BB395">
        <v>1.18674940458443</v>
      </c>
      <c r="BC395">
        <v>23.955520854092502</v>
      </c>
    </row>
    <row r="396" spans="1:55" x14ac:dyDescent="0.2">
      <c r="A396" t="s">
        <v>827</v>
      </c>
      <c r="B396" t="s">
        <v>828</v>
      </c>
      <c r="C396">
        <v>280</v>
      </c>
      <c r="D396">
        <v>20</v>
      </c>
      <c r="E396">
        <v>40</v>
      </c>
      <c r="F396">
        <v>0</v>
      </c>
      <c r="G396">
        <v>0</v>
      </c>
      <c r="H396">
        <v>0</v>
      </c>
      <c r="I396">
        <v>340</v>
      </c>
      <c r="J396">
        <v>7707.28</v>
      </c>
      <c r="K396">
        <v>99475.98</v>
      </c>
      <c r="L396">
        <v>69633.19</v>
      </c>
      <c r="M396">
        <v>16672.54</v>
      </c>
      <c r="N396">
        <v>52847.17</v>
      </c>
      <c r="O396">
        <v>136810.79999999999</v>
      </c>
      <c r="P396">
        <v>1248000</v>
      </c>
      <c r="Q396">
        <v>5976.36</v>
      </c>
      <c r="R396">
        <v>612.91</v>
      </c>
      <c r="S396">
        <v>7101.61</v>
      </c>
      <c r="T396">
        <v>39094.660000000003</v>
      </c>
      <c r="U396">
        <v>65</v>
      </c>
      <c r="V396">
        <v>0</v>
      </c>
      <c r="W396">
        <v>0</v>
      </c>
      <c r="X396">
        <v>0</v>
      </c>
      <c r="Y396">
        <v>0</v>
      </c>
      <c r="Z396">
        <v>477.47</v>
      </c>
      <c r="AA396">
        <v>5.34</v>
      </c>
      <c r="AB396">
        <v>74.180000000000007</v>
      </c>
      <c r="AC396">
        <v>2563.58</v>
      </c>
      <c r="AD396">
        <v>1.39</v>
      </c>
      <c r="AE396">
        <v>0.12</v>
      </c>
      <c r="AF396">
        <v>0.46</v>
      </c>
      <c r="AG396">
        <v>1.22</v>
      </c>
      <c r="AH396">
        <v>10778.12</v>
      </c>
      <c r="AI396">
        <v>1814.25</v>
      </c>
      <c r="AJ396">
        <v>8922.2900000000009</v>
      </c>
      <c r="AK396">
        <v>768081.79</v>
      </c>
      <c r="AL396">
        <v>477.47</v>
      </c>
      <c r="AM396">
        <v>5.34</v>
      </c>
      <c r="AN396">
        <v>74.180000000000007</v>
      </c>
      <c r="AO396">
        <v>2563.58</v>
      </c>
      <c r="AP396">
        <v>64353.96</v>
      </c>
      <c r="AQ396">
        <v>15465.86</v>
      </c>
      <c r="AR396">
        <v>50952.31</v>
      </c>
      <c r="AS396">
        <v>-594739.91</v>
      </c>
      <c r="AT396">
        <v>29.48348</v>
      </c>
      <c r="AU396">
        <v>28.628459079999999</v>
      </c>
      <c r="AV396">
        <v>3134816.26926</v>
      </c>
      <c r="AW396">
        <v>4724191.68</v>
      </c>
      <c r="AX396">
        <v>1.5070075163018</v>
      </c>
      <c r="AY396">
        <v>99578.0576</v>
      </c>
      <c r="AZ396">
        <v>1.0010261532482501</v>
      </c>
      <c r="BA396">
        <v>114841.463414634</v>
      </c>
      <c r="BB396">
        <v>1.1544642577498001</v>
      </c>
      <c r="BC396">
        <v>24.496006201550301</v>
      </c>
    </row>
    <row r="397" spans="1:55" x14ac:dyDescent="0.2">
      <c r="A397" t="s">
        <v>829</v>
      </c>
      <c r="B397" t="s">
        <v>830</v>
      </c>
      <c r="C397">
        <v>270</v>
      </c>
      <c r="D397">
        <v>15</v>
      </c>
      <c r="E397">
        <v>230</v>
      </c>
      <c r="F397">
        <v>60</v>
      </c>
      <c r="G397">
        <v>100</v>
      </c>
      <c r="H397">
        <v>0</v>
      </c>
      <c r="I397">
        <v>675</v>
      </c>
      <c r="J397">
        <v>10714.36</v>
      </c>
      <c r="K397">
        <v>127927.87</v>
      </c>
      <c r="L397">
        <v>89549.51</v>
      </c>
      <c r="M397">
        <v>21072.41</v>
      </c>
      <c r="N397">
        <v>52560.66</v>
      </c>
      <c r="O397">
        <v>130936.5</v>
      </c>
      <c r="P397">
        <v>9744230</v>
      </c>
      <c r="Q397">
        <v>49624.83</v>
      </c>
      <c r="R397">
        <v>6357.38</v>
      </c>
      <c r="S397">
        <v>64833.96</v>
      </c>
      <c r="T397">
        <v>439733</v>
      </c>
      <c r="U397">
        <v>74</v>
      </c>
      <c r="V397">
        <v>116639.78</v>
      </c>
      <c r="W397">
        <v>24820.04</v>
      </c>
      <c r="X397">
        <v>46847.5</v>
      </c>
      <c r="Y397">
        <v>438325</v>
      </c>
      <c r="Z397">
        <v>49624.83</v>
      </c>
      <c r="AA397">
        <v>6357.38</v>
      </c>
      <c r="AB397">
        <v>64833.96</v>
      </c>
      <c r="AC397">
        <v>439733</v>
      </c>
      <c r="AD397">
        <v>1.0900000000000001</v>
      </c>
      <c r="AE397">
        <v>0.95</v>
      </c>
      <c r="AF397">
        <v>0.65</v>
      </c>
      <c r="AG397">
        <v>1.37</v>
      </c>
      <c r="AH397">
        <v>0</v>
      </c>
      <c r="AI397">
        <v>0</v>
      </c>
      <c r="AJ397">
        <v>0</v>
      </c>
      <c r="AK397">
        <v>0</v>
      </c>
      <c r="AL397">
        <v>166264.60999999999</v>
      </c>
      <c r="AM397">
        <v>31177.42</v>
      </c>
      <c r="AN397">
        <v>111681.459999999</v>
      </c>
      <c r="AO397">
        <v>878058</v>
      </c>
      <c r="AP397">
        <v>-27090.269999999899</v>
      </c>
      <c r="AQ397">
        <v>-3747.63</v>
      </c>
      <c r="AR397">
        <v>5713.16</v>
      </c>
      <c r="AS397">
        <v>-307388.5</v>
      </c>
      <c r="AT397">
        <v>33.565807999999997</v>
      </c>
      <c r="AU397">
        <v>32.592399567999998</v>
      </c>
      <c r="AV397">
        <v>3390424.36506119</v>
      </c>
      <c r="AW397">
        <v>36885905.684299998</v>
      </c>
      <c r="AX397">
        <v>10.879436233532999</v>
      </c>
      <c r="AY397">
        <v>138429.5312</v>
      </c>
      <c r="AZ397">
        <v>1.0820904873973101</v>
      </c>
      <c r="BA397">
        <v>147201.829268292</v>
      </c>
      <c r="BB397">
        <v>1.15066270757335</v>
      </c>
      <c r="BC397">
        <v>25.052110635871099</v>
      </c>
    </row>
    <row r="398" spans="1:55" x14ac:dyDescent="0.2">
      <c r="A398" t="s">
        <v>831</v>
      </c>
      <c r="B398" t="s">
        <v>832</v>
      </c>
      <c r="C398">
        <v>194</v>
      </c>
      <c r="D398">
        <v>48</v>
      </c>
      <c r="E398">
        <v>0</v>
      </c>
      <c r="F398">
        <v>0</v>
      </c>
      <c r="G398">
        <v>0</v>
      </c>
      <c r="H398">
        <v>0</v>
      </c>
      <c r="I398">
        <v>242</v>
      </c>
      <c r="J398">
        <v>5693.25</v>
      </c>
      <c r="K398">
        <v>74026</v>
      </c>
      <c r="L398">
        <v>51818.2</v>
      </c>
      <c r="M398">
        <v>12204.57</v>
      </c>
      <c r="N398">
        <v>37254.58</v>
      </c>
      <c r="O398">
        <v>102663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70</v>
      </c>
      <c r="V398">
        <v>4191.72</v>
      </c>
      <c r="W398">
        <v>1036.1500000000001</v>
      </c>
      <c r="X398">
        <v>4798.04</v>
      </c>
      <c r="Y398">
        <v>66381.119999999995</v>
      </c>
      <c r="Z398">
        <v>0</v>
      </c>
      <c r="AA398">
        <v>0</v>
      </c>
      <c r="AB398">
        <v>0</v>
      </c>
      <c r="AC398">
        <v>0</v>
      </c>
      <c r="AD398">
        <v>1.2</v>
      </c>
      <c r="AE398">
        <v>1.31</v>
      </c>
      <c r="AF398">
        <v>1.06</v>
      </c>
      <c r="AG398">
        <v>4.3899999999999997</v>
      </c>
      <c r="AH398">
        <v>44085.599999999999</v>
      </c>
      <c r="AI398">
        <v>13197.6</v>
      </c>
      <c r="AJ398">
        <v>43243.199999999997</v>
      </c>
      <c r="AK398">
        <v>1659528</v>
      </c>
      <c r="AL398">
        <v>4191.72</v>
      </c>
      <c r="AM398">
        <v>1036.1500000000001</v>
      </c>
      <c r="AN398">
        <v>4798.04</v>
      </c>
      <c r="AO398">
        <v>66381.119999999995</v>
      </c>
      <c r="AP398">
        <v>3540.8799999999901</v>
      </c>
      <c r="AQ398">
        <v>-2029.18</v>
      </c>
      <c r="AR398">
        <v>-10786.6599999999</v>
      </c>
      <c r="AS398">
        <v>-1623246.12</v>
      </c>
      <c r="AT398">
        <v>31.751439999999999</v>
      </c>
      <c r="AU398">
        <v>30.830648239999999</v>
      </c>
      <c r="AV398">
        <v>2723271.1590391998</v>
      </c>
      <c r="AW398">
        <v>0</v>
      </c>
      <c r="AY398">
        <v>73556.789999999994</v>
      </c>
      <c r="AZ398">
        <v>0.99366155134682399</v>
      </c>
      <c r="BA398">
        <v>88330</v>
      </c>
      <c r="BB398">
        <v>1.19322940588441</v>
      </c>
      <c r="BC398">
        <v>23.525826446280899</v>
      </c>
    </row>
    <row r="399" spans="1:55" x14ac:dyDescent="0.2">
      <c r="A399" t="s">
        <v>833</v>
      </c>
      <c r="B399" t="s">
        <v>834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0.7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0.4</v>
      </c>
      <c r="AE399">
        <v>0</v>
      </c>
      <c r="AF399">
        <v>0</v>
      </c>
      <c r="AG399">
        <v>0.71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0.7</v>
      </c>
      <c r="AQ399">
        <v>1</v>
      </c>
      <c r="AR399">
        <v>1</v>
      </c>
      <c r="AS399">
        <v>0</v>
      </c>
      <c r="AT399">
        <v>0.453592</v>
      </c>
      <c r="AU399">
        <v>0.44043783199999997</v>
      </c>
      <c r="AV399">
        <v>0</v>
      </c>
      <c r="AW399">
        <v>0</v>
      </c>
    </row>
    <row r="400" spans="1:55" x14ac:dyDescent="0.2">
      <c r="A400" t="s">
        <v>835</v>
      </c>
      <c r="B400" t="s">
        <v>836</v>
      </c>
      <c r="C400">
        <v>1650</v>
      </c>
      <c r="D400">
        <v>195</v>
      </c>
      <c r="E400">
        <v>290</v>
      </c>
      <c r="F400">
        <v>200</v>
      </c>
      <c r="G400">
        <v>300</v>
      </c>
      <c r="H400">
        <v>0</v>
      </c>
      <c r="I400">
        <v>2635</v>
      </c>
      <c r="J400">
        <v>52256.34</v>
      </c>
      <c r="K400">
        <v>665272.64</v>
      </c>
      <c r="L400">
        <v>465690.85</v>
      </c>
      <c r="M400">
        <v>109962.57</v>
      </c>
      <c r="N400">
        <v>322291.05</v>
      </c>
      <c r="O400">
        <v>823994.1</v>
      </c>
      <c r="P400">
        <v>21774000</v>
      </c>
      <c r="Q400">
        <v>106750.64</v>
      </c>
      <c r="R400">
        <v>6638.1</v>
      </c>
      <c r="S400">
        <v>187896.24</v>
      </c>
      <c r="T400">
        <v>1247517.08</v>
      </c>
      <c r="U400">
        <v>75</v>
      </c>
      <c r="V400">
        <v>7319.96</v>
      </c>
      <c r="W400">
        <v>1876.62</v>
      </c>
      <c r="X400">
        <v>10457.09</v>
      </c>
      <c r="Y400">
        <v>78852.100000000006</v>
      </c>
      <c r="Z400">
        <v>106750.64</v>
      </c>
      <c r="AA400">
        <v>6638.1</v>
      </c>
      <c r="AB400">
        <v>187896.24</v>
      </c>
      <c r="AC400">
        <v>1247517.08</v>
      </c>
      <c r="AD400">
        <v>1.27</v>
      </c>
      <c r="AE400">
        <v>0.6</v>
      </c>
      <c r="AF400">
        <v>1.06</v>
      </c>
      <c r="AG400">
        <v>1.64</v>
      </c>
      <c r="AH400">
        <v>57769.74</v>
      </c>
      <c r="AI400">
        <v>17087.45</v>
      </c>
      <c r="AJ400">
        <v>95618.880000000005</v>
      </c>
      <c r="AK400">
        <v>588764.4</v>
      </c>
      <c r="AL400">
        <v>114070.6</v>
      </c>
      <c r="AM400">
        <v>8514.7199999999993</v>
      </c>
      <c r="AN400">
        <v>198353.33</v>
      </c>
      <c r="AO400">
        <v>1326369.18</v>
      </c>
      <c r="AP400">
        <v>400601.15</v>
      </c>
      <c r="AQ400">
        <v>90998.5</v>
      </c>
      <c r="AR400">
        <v>216215.079999999</v>
      </c>
      <c r="AS400">
        <v>156377.59999999899</v>
      </c>
      <c r="AT400">
        <v>34.019399999999997</v>
      </c>
      <c r="AU400">
        <v>33.032837399999998</v>
      </c>
      <c r="AV400">
        <v>22245138.526094999</v>
      </c>
      <c r="AW400">
        <v>82423517.340000004</v>
      </c>
      <c r="AX400">
        <v>3.7052373148097799</v>
      </c>
      <c r="AY400">
        <v>675151.912799999</v>
      </c>
      <c r="AZ400">
        <v>1.0148499610625801</v>
      </c>
      <c r="BA400">
        <v>752211.58536585304</v>
      </c>
      <c r="BB400">
        <v>1.13068167866613</v>
      </c>
      <c r="BC400">
        <v>24.487227155837399</v>
      </c>
    </row>
    <row r="401" spans="1:55" x14ac:dyDescent="0.2">
      <c r="A401" t="s">
        <v>837</v>
      </c>
      <c r="B401" t="s">
        <v>838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0.7</v>
      </c>
      <c r="M401">
        <v>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0.7</v>
      </c>
      <c r="AQ401">
        <v>1</v>
      </c>
      <c r="AR401">
        <v>1</v>
      </c>
      <c r="AS401">
        <v>0</v>
      </c>
      <c r="AT401">
        <v>0.453592</v>
      </c>
      <c r="AU401">
        <v>0.44043783199999997</v>
      </c>
      <c r="AV401">
        <v>0</v>
      </c>
      <c r="AW401">
        <v>0</v>
      </c>
    </row>
    <row r="402" spans="1:55" x14ac:dyDescent="0.2">
      <c r="A402" t="s">
        <v>839</v>
      </c>
      <c r="B402" t="s">
        <v>840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2</v>
      </c>
      <c r="J402">
        <v>21.03</v>
      </c>
      <c r="K402">
        <v>281.37</v>
      </c>
      <c r="L402">
        <v>196.96</v>
      </c>
      <c r="M402">
        <v>41.04</v>
      </c>
      <c r="N402">
        <v>146.58000000000001</v>
      </c>
      <c r="O402">
        <v>472.14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196.96</v>
      </c>
      <c r="AQ402">
        <v>41.04</v>
      </c>
      <c r="AR402">
        <v>146.58000000000001</v>
      </c>
      <c r="AS402">
        <v>472.14</v>
      </c>
      <c r="AT402">
        <v>0.453592</v>
      </c>
      <c r="AU402">
        <v>0.44043783199999997</v>
      </c>
      <c r="AV402">
        <v>160.75980867999999</v>
      </c>
      <c r="AW402">
        <v>0</v>
      </c>
      <c r="AY402">
        <v>271.70760000000001</v>
      </c>
      <c r="AZ402">
        <v>0.96565945196715997</v>
      </c>
      <c r="BA402">
        <v>409.51219512195098</v>
      </c>
      <c r="BB402">
        <v>1.4554223802180399</v>
      </c>
      <c r="BC402">
        <v>15.3969642857142</v>
      </c>
    </row>
    <row r="403" spans="1:55" x14ac:dyDescent="0.2">
      <c r="A403" t="s">
        <v>841</v>
      </c>
      <c r="B403" t="s">
        <v>842</v>
      </c>
      <c r="C403">
        <v>285</v>
      </c>
      <c r="D403">
        <v>26</v>
      </c>
      <c r="E403">
        <v>94</v>
      </c>
      <c r="F403">
        <v>150</v>
      </c>
      <c r="G403">
        <v>26</v>
      </c>
      <c r="H403">
        <v>0</v>
      </c>
      <c r="I403">
        <v>581</v>
      </c>
      <c r="J403">
        <v>9916.49</v>
      </c>
      <c r="K403">
        <v>122961.88</v>
      </c>
      <c r="L403">
        <v>86073.32</v>
      </c>
      <c r="M403">
        <v>20474.5</v>
      </c>
      <c r="N403">
        <v>53790.87</v>
      </c>
      <c r="O403">
        <v>140554.98000000001</v>
      </c>
      <c r="P403">
        <v>17692500</v>
      </c>
      <c r="Q403">
        <v>60681.65</v>
      </c>
      <c r="R403">
        <v>10261.25</v>
      </c>
      <c r="S403">
        <v>208177.92000000001</v>
      </c>
      <c r="T403">
        <v>1203297.8899999999</v>
      </c>
      <c r="U403">
        <v>65</v>
      </c>
      <c r="V403">
        <v>0</v>
      </c>
      <c r="W403">
        <v>0</v>
      </c>
      <c r="X403">
        <v>0</v>
      </c>
      <c r="Y403">
        <v>0</v>
      </c>
      <c r="Z403">
        <v>60681.65</v>
      </c>
      <c r="AA403">
        <v>10261.25</v>
      </c>
      <c r="AB403">
        <v>208177.92000000001</v>
      </c>
      <c r="AC403">
        <v>1203297.8899999999</v>
      </c>
      <c r="AD403">
        <v>1.26</v>
      </c>
      <c r="AE403">
        <v>0.67</v>
      </c>
      <c r="AF403">
        <v>2.37</v>
      </c>
      <c r="AG403">
        <v>3.67</v>
      </c>
      <c r="AH403">
        <v>110517.24</v>
      </c>
      <c r="AI403">
        <v>41018.68</v>
      </c>
      <c r="AJ403">
        <v>50272.28</v>
      </c>
      <c r="AK403">
        <v>1170960</v>
      </c>
      <c r="AL403">
        <v>60681.65</v>
      </c>
      <c r="AM403">
        <v>10261.25</v>
      </c>
      <c r="AN403">
        <v>208177.92000000001</v>
      </c>
      <c r="AO403">
        <v>1203297.8899999999</v>
      </c>
      <c r="AP403">
        <v>-24443.919999999998</v>
      </c>
      <c r="AQ403">
        <v>-20544.18</v>
      </c>
      <c r="AR403">
        <v>3518.5899999999901</v>
      </c>
      <c r="AS403">
        <v>-1030405.02</v>
      </c>
      <c r="AT403">
        <v>29.48348</v>
      </c>
      <c r="AU403">
        <v>28.628459079999999</v>
      </c>
      <c r="AV403">
        <v>3249759.5324662002</v>
      </c>
      <c r="AW403">
        <v>66973366.424999997</v>
      </c>
      <c r="AX403">
        <v>20.6087145082315</v>
      </c>
      <c r="AY403">
        <v>128121.0508</v>
      </c>
      <c r="AZ403">
        <v>1.04195748145685</v>
      </c>
      <c r="BA403">
        <v>147255.24390243899</v>
      </c>
      <c r="BB403">
        <v>1.1975682536932499</v>
      </c>
      <c r="BC403">
        <v>24.199517290637399</v>
      </c>
    </row>
    <row r="404" spans="1:55" x14ac:dyDescent="0.2">
      <c r="A404" t="s">
        <v>843</v>
      </c>
      <c r="B404" t="s">
        <v>844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0.7</v>
      </c>
      <c r="M404">
        <v>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1.06</v>
      </c>
      <c r="AE404">
        <v>0</v>
      </c>
      <c r="AF404">
        <v>0</v>
      </c>
      <c r="AG404">
        <v>5.16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0.7</v>
      </c>
      <c r="AQ404">
        <v>1</v>
      </c>
      <c r="AR404">
        <v>1</v>
      </c>
      <c r="AS404">
        <v>0</v>
      </c>
      <c r="AT404">
        <v>0.453592</v>
      </c>
      <c r="AU404">
        <v>0.44043783199999997</v>
      </c>
      <c r="AV404">
        <v>0</v>
      </c>
      <c r="AW404">
        <v>0</v>
      </c>
    </row>
    <row r="405" spans="1:55" x14ac:dyDescent="0.2">
      <c r="A405" t="s">
        <v>845</v>
      </c>
      <c r="B405" t="s">
        <v>846</v>
      </c>
      <c r="C405">
        <v>80</v>
      </c>
      <c r="D405">
        <v>10</v>
      </c>
      <c r="E405">
        <v>15</v>
      </c>
      <c r="F405">
        <v>15</v>
      </c>
      <c r="G405">
        <v>0</v>
      </c>
      <c r="H405">
        <v>0</v>
      </c>
      <c r="I405">
        <v>120</v>
      </c>
      <c r="J405">
        <v>2308.0500000000002</v>
      </c>
      <c r="K405">
        <v>29373.040000000001</v>
      </c>
      <c r="L405">
        <v>20561.13</v>
      </c>
      <c r="M405">
        <v>4871.95</v>
      </c>
      <c r="N405">
        <v>14414.04</v>
      </c>
      <c r="O405">
        <v>40077</v>
      </c>
      <c r="P405">
        <v>34560</v>
      </c>
      <c r="Q405">
        <v>69.22</v>
      </c>
      <c r="R405">
        <v>8.33</v>
      </c>
      <c r="S405">
        <v>171.31</v>
      </c>
      <c r="T405">
        <v>735.43</v>
      </c>
      <c r="U405">
        <v>52</v>
      </c>
      <c r="V405">
        <v>1503.8</v>
      </c>
      <c r="W405">
        <v>1145.18</v>
      </c>
      <c r="X405">
        <v>802.17</v>
      </c>
      <c r="Y405">
        <v>0</v>
      </c>
      <c r="Z405">
        <v>69.22</v>
      </c>
      <c r="AA405">
        <v>8.33</v>
      </c>
      <c r="AB405">
        <v>171.31</v>
      </c>
      <c r="AC405">
        <v>735.43</v>
      </c>
      <c r="AD405">
        <v>0.31</v>
      </c>
      <c r="AE405">
        <v>1.05</v>
      </c>
      <c r="AF405">
        <v>0.17</v>
      </c>
      <c r="AG405">
        <v>12.52</v>
      </c>
      <c r="AH405">
        <v>0</v>
      </c>
      <c r="AI405">
        <v>0</v>
      </c>
      <c r="AJ405">
        <v>0</v>
      </c>
      <c r="AK405">
        <v>0</v>
      </c>
      <c r="AL405">
        <v>1573.02</v>
      </c>
      <c r="AM405">
        <v>1153.51</v>
      </c>
      <c r="AN405">
        <v>973.48</v>
      </c>
      <c r="AO405">
        <v>735.43</v>
      </c>
      <c r="AP405">
        <v>19057.330000000002</v>
      </c>
      <c r="AQ405">
        <v>3726.76999999999</v>
      </c>
      <c r="AR405">
        <v>13611.87</v>
      </c>
      <c r="AS405">
        <v>40077</v>
      </c>
      <c r="AT405">
        <v>23.586784000000002</v>
      </c>
      <c r="AU405">
        <v>22.902767264000001</v>
      </c>
      <c r="AV405">
        <v>752355.90462239995</v>
      </c>
      <c r="AW405">
        <v>130823.7696</v>
      </c>
      <c r="AX405">
        <v>0.17388548265020801</v>
      </c>
      <c r="AY405">
        <v>29820.006000000001</v>
      </c>
      <c r="AZ405">
        <v>1.01521687915176</v>
      </c>
      <c r="BA405">
        <v>36856.097560975599</v>
      </c>
      <c r="BB405">
        <v>1.2547593834678099</v>
      </c>
      <c r="BC405">
        <v>22.857500000000002</v>
      </c>
    </row>
    <row r="406" spans="1:55" x14ac:dyDescent="0.2">
      <c r="A406" t="s">
        <v>847</v>
      </c>
      <c r="B406" t="s">
        <v>848</v>
      </c>
      <c r="C406">
        <v>1000</v>
      </c>
      <c r="D406">
        <v>120</v>
      </c>
      <c r="E406">
        <v>300</v>
      </c>
      <c r="F406">
        <v>275</v>
      </c>
      <c r="G406">
        <v>250</v>
      </c>
      <c r="H406">
        <v>250</v>
      </c>
      <c r="I406">
        <v>2195</v>
      </c>
      <c r="J406">
        <v>35210.65</v>
      </c>
      <c r="K406">
        <v>441673.28</v>
      </c>
      <c r="L406">
        <v>309171.3</v>
      </c>
      <c r="M406">
        <v>71469.45</v>
      </c>
      <c r="N406">
        <v>193351.51</v>
      </c>
      <c r="O406">
        <v>499809.6</v>
      </c>
      <c r="P406">
        <v>25244200</v>
      </c>
      <c r="Q406">
        <v>111473.85</v>
      </c>
      <c r="R406">
        <v>28840.97</v>
      </c>
      <c r="S406">
        <v>552654.53</v>
      </c>
      <c r="T406">
        <v>1441464.28</v>
      </c>
      <c r="U406">
        <v>72</v>
      </c>
      <c r="V406">
        <v>0</v>
      </c>
      <c r="W406">
        <v>0</v>
      </c>
      <c r="X406">
        <v>0</v>
      </c>
      <c r="Y406">
        <v>0</v>
      </c>
      <c r="Z406">
        <v>111473.85</v>
      </c>
      <c r="AA406">
        <v>28840.97</v>
      </c>
      <c r="AB406">
        <v>552654.53</v>
      </c>
      <c r="AC406">
        <v>1441464.28</v>
      </c>
      <c r="AD406">
        <v>1.07</v>
      </c>
      <c r="AE406">
        <v>1.31</v>
      </c>
      <c r="AF406">
        <v>4.1500000000000004</v>
      </c>
      <c r="AG406">
        <v>2.73</v>
      </c>
      <c r="AH406">
        <v>107270.34</v>
      </c>
      <c r="AI406">
        <v>44435.28</v>
      </c>
      <c r="AJ406">
        <v>221717.94</v>
      </c>
      <c r="AK406">
        <v>1384465.52</v>
      </c>
      <c r="AL406">
        <v>111473.85</v>
      </c>
      <c r="AM406">
        <v>28840.97</v>
      </c>
      <c r="AN406">
        <v>552654.53</v>
      </c>
      <c r="AO406">
        <v>1441464.28</v>
      </c>
      <c r="AP406">
        <v>201900.96</v>
      </c>
      <c r="AQ406">
        <v>27034.17</v>
      </c>
      <c r="AR406">
        <v>-28366.429999999898</v>
      </c>
      <c r="AS406">
        <v>-884655.92</v>
      </c>
      <c r="AT406">
        <v>32.658624000000003</v>
      </c>
      <c r="AU406">
        <v>31.711523904</v>
      </c>
      <c r="AV406">
        <v>12963670.971955201</v>
      </c>
      <c r="AW406">
        <v>95559647.121999994</v>
      </c>
      <c r="AX406">
        <v>7.37134159982367</v>
      </c>
      <c r="AY406">
        <v>454921.598</v>
      </c>
      <c r="AZ406">
        <v>1.02999574255431</v>
      </c>
      <c r="BA406">
        <v>507839.63414634101</v>
      </c>
      <c r="BB406">
        <v>1.14980836999318</v>
      </c>
      <c r="BC406">
        <v>23.2675743412039</v>
      </c>
    </row>
    <row r="407" spans="1:55" x14ac:dyDescent="0.2">
      <c r="A407" t="s">
        <v>849</v>
      </c>
      <c r="B407" t="s">
        <v>850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1</v>
      </c>
      <c r="L407">
        <v>0.7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18948.330000000002</v>
      </c>
      <c r="W407">
        <v>3308.44</v>
      </c>
      <c r="X407">
        <v>17594.88</v>
      </c>
      <c r="Y407">
        <v>162414.29</v>
      </c>
      <c r="Z407">
        <v>0</v>
      </c>
      <c r="AA407">
        <v>0</v>
      </c>
      <c r="AB407">
        <v>0</v>
      </c>
      <c r="AC407">
        <v>0</v>
      </c>
      <c r="AD407">
        <v>1.22</v>
      </c>
      <c r="AE407">
        <v>0.97</v>
      </c>
      <c r="AF407">
        <v>0.73</v>
      </c>
      <c r="AG407">
        <v>2.41</v>
      </c>
      <c r="AH407">
        <v>0</v>
      </c>
      <c r="AI407">
        <v>0</v>
      </c>
      <c r="AJ407">
        <v>0</v>
      </c>
      <c r="AK407">
        <v>0</v>
      </c>
      <c r="AL407">
        <v>18948.330000000002</v>
      </c>
      <c r="AM407">
        <v>3308.44</v>
      </c>
      <c r="AN407">
        <v>17594.88</v>
      </c>
      <c r="AO407">
        <v>162414.29</v>
      </c>
      <c r="AP407">
        <v>-18947.63</v>
      </c>
      <c r="AQ407">
        <v>-3307.44</v>
      </c>
      <c r="AR407">
        <v>-17593.88</v>
      </c>
      <c r="AS407">
        <v>-162414.29</v>
      </c>
      <c r="AT407">
        <v>0.453592</v>
      </c>
      <c r="AU407">
        <v>0.44043783199999997</v>
      </c>
      <c r="AV407">
        <v>0</v>
      </c>
      <c r="AW407">
        <v>0</v>
      </c>
    </row>
    <row r="408" spans="1:55" x14ac:dyDescent="0.2">
      <c r="A408" t="s">
        <v>851</v>
      </c>
      <c r="B408" t="s">
        <v>852</v>
      </c>
      <c r="C408">
        <v>1475</v>
      </c>
      <c r="D408">
        <v>225</v>
      </c>
      <c r="E408">
        <v>500</v>
      </c>
      <c r="F408">
        <v>450</v>
      </c>
      <c r="G408">
        <v>200</v>
      </c>
      <c r="H408">
        <v>0</v>
      </c>
      <c r="I408">
        <v>2850</v>
      </c>
      <c r="J408">
        <v>53108.86</v>
      </c>
      <c r="K408">
        <v>660561.24</v>
      </c>
      <c r="L408">
        <v>462392.87</v>
      </c>
      <c r="M408">
        <v>109608.37</v>
      </c>
      <c r="N408">
        <v>292967.32</v>
      </c>
      <c r="O408">
        <v>748287</v>
      </c>
      <c r="P408">
        <v>41027395</v>
      </c>
      <c r="Q408">
        <v>184090.02</v>
      </c>
      <c r="R408">
        <v>21230.51</v>
      </c>
      <c r="S408">
        <v>210144.29</v>
      </c>
      <c r="T408">
        <v>1755450.85</v>
      </c>
      <c r="U408">
        <v>80</v>
      </c>
      <c r="V408">
        <v>35958.78</v>
      </c>
      <c r="W408">
        <v>10549.89</v>
      </c>
      <c r="X408">
        <v>21515.83</v>
      </c>
      <c r="Y408">
        <v>222885</v>
      </c>
      <c r="Z408">
        <v>184090.02</v>
      </c>
      <c r="AA408">
        <v>21230.51</v>
      </c>
      <c r="AB408">
        <v>210144.29</v>
      </c>
      <c r="AC408">
        <v>1755450.85</v>
      </c>
      <c r="AD408">
        <v>1.23</v>
      </c>
      <c r="AE408">
        <v>0.81</v>
      </c>
      <c r="AF408">
        <v>0.83</v>
      </c>
      <c r="AG408">
        <v>2.2400000000000002</v>
      </c>
      <c r="AH408">
        <v>0</v>
      </c>
      <c r="AI408">
        <v>0</v>
      </c>
      <c r="AJ408">
        <v>0</v>
      </c>
      <c r="AK408">
        <v>0</v>
      </c>
      <c r="AL408">
        <v>220048.8</v>
      </c>
      <c r="AM408">
        <v>31780.3999999999</v>
      </c>
      <c r="AN408">
        <v>231660.12</v>
      </c>
      <c r="AO408">
        <v>1978335.85</v>
      </c>
      <c r="AP408">
        <v>426434.09</v>
      </c>
      <c r="AQ408">
        <v>99058.48</v>
      </c>
      <c r="AR408">
        <v>271451.49</v>
      </c>
      <c r="AS408">
        <v>525402</v>
      </c>
      <c r="AT408">
        <v>36.28736</v>
      </c>
      <c r="AU408">
        <v>35.235026560000001</v>
      </c>
      <c r="AV408">
        <v>21863333.98048</v>
      </c>
      <c r="AW408">
        <v>155305511.30695</v>
      </c>
      <c r="AX408">
        <v>7.1034688234470398</v>
      </c>
      <c r="AY408">
        <v>686166.47120000003</v>
      </c>
      <c r="AZ408">
        <v>1.03876284233691</v>
      </c>
      <c r="BA408">
        <v>756262.19512195105</v>
      </c>
      <c r="BB408">
        <v>1.1448782479607</v>
      </c>
      <c r="BC408">
        <v>25.042705692926901</v>
      </c>
    </row>
    <row r="409" spans="1:55" x14ac:dyDescent="0.2">
      <c r="A409" t="s">
        <v>853</v>
      </c>
      <c r="B409" t="s">
        <v>854</v>
      </c>
      <c r="C409">
        <v>3450</v>
      </c>
      <c r="D409">
        <v>525</v>
      </c>
      <c r="E409">
        <v>1230</v>
      </c>
      <c r="F409">
        <v>940</v>
      </c>
      <c r="G409">
        <v>440</v>
      </c>
      <c r="H409">
        <v>450</v>
      </c>
      <c r="I409">
        <v>7035</v>
      </c>
      <c r="J409">
        <v>122720.42</v>
      </c>
      <c r="K409">
        <v>1534949.13</v>
      </c>
      <c r="L409">
        <v>1074464.3899999999</v>
      </c>
      <c r="M409">
        <v>252152.94</v>
      </c>
      <c r="N409">
        <v>673881.29</v>
      </c>
      <c r="O409">
        <v>1749937.5</v>
      </c>
      <c r="P409">
        <v>176860000</v>
      </c>
      <c r="Q409">
        <v>527845.6</v>
      </c>
      <c r="R409">
        <v>74538.990000000005</v>
      </c>
      <c r="S409">
        <v>875895.37</v>
      </c>
      <c r="T409">
        <v>4467470.72</v>
      </c>
      <c r="U409">
        <v>75</v>
      </c>
      <c r="V409">
        <v>28672.95</v>
      </c>
      <c r="W409">
        <v>5760.31</v>
      </c>
      <c r="X409">
        <v>20024.060000000001</v>
      </c>
      <c r="Y409">
        <v>117088.42</v>
      </c>
      <c r="Z409">
        <v>414620.56</v>
      </c>
      <c r="AA409">
        <v>57076.25</v>
      </c>
      <c r="AB409">
        <v>675198.96</v>
      </c>
      <c r="AC409">
        <v>3512034.98</v>
      </c>
      <c r="AD409">
        <v>1.21</v>
      </c>
      <c r="AE409">
        <v>0.8</v>
      </c>
      <c r="AF409">
        <v>1.28</v>
      </c>
      <c r="AG409">
        <v>2.44</v>
      </c>
      <c r="AH409">
        <v>328530.48</v>
      </c>
      <c r="AI409">
        <v>44119.61</v>
      </c>
      <c r="AJ409">
        <v>323728.09999999998</v>
      </c>
      <c r="AK409">
        <v>4953965.34</v>
      </c>
      <c r="AL409">
        <v>443293.51</v>
      </c>
      <c r="AM409">
        <v>62836.56</v>
      </c>
      <c r="AN409">
        <v>695223.02</v>
      </c>
      <c r="AO409">
        <v>3629123.4</v>
      </c>
      <c r="AP409">
        <v>830485.99999999895</v>
      </c>
      <c r="AQ409">
        <v>219735.76</v>
      </c>
      <c r="AR409">
        <v>530825.54</v>
      </c>
      <c r="AS409">
        <v>-2365680.52</v>
      </c>
      <c r="AT409">
        <v>34.019399999999997</v>
      </c>
      <c r="AU409">
        <v>33.032837399999998</v>
      </c>
      <c r="AV409">
        <v>47926517.962724999</v>
      </c>
      <c r="AW409">
        <v>669487612.60000002</v>
      </c>
      <c r="AX409">
        <v>13.9690434660973</v>
      </c>
      <c r="AY409">
        <v>1585547.8263999999</v>
      </c>
      <c r="AZ409">
        <v>1.0329644125730699</v>
      </c>
      <c r="BA409">
        <v>1780265.2439024299</v>
      </c>
      <c r="BB409">
        <v>1.1598203543738499</v>
      </c>
      <c r="BC409">
        <v>24.0887479114302</v>
      </c>
    </row>
    <row r="410" spans="1:55" x14ac:dyDescent="0.2">
      <c r="A410" t="s">
        <v>855</v>
      </c>
      <c r="B410" t="s">
        <v>856</v>
      </c>
      <c r="C410">
        <v>1398</v>
      </c>
      <c r="D410">
        <v>145</v>
      </c>
      <c r="E410">
        <v>372</v>
      </c>
      <c r="F410">
        <v>220</v>
      </c>
      <c r="G410">
        <v>0</v>
      </c>
      <c r="H410">
        <v>0</v>
      </c>
      <c r="I410">
        <v>2135</v>
      </c>
      <c r="J410">
        <v>44935.29</v>
      </c>
      <c r="K410">
        <v>563770.91</v>
      </c>
      <c r="L410">
        <v>394639.64</v>
      </c>
      <c r="M410">
        <v>94606.66</v>
      </c>
      <c r="N410">
        <v>273068.42</v>
      </c>
      <c r="O410">
        <v>693485.82</v>
      </c>
      <c r="P410">
        <v>12760000</v>
      </c>
      <c r="Q410">
        <v>56596.09</v>
      </c>
      <c r="R410">
        <v>6101.06</v>
      </c>
      <c r="S410">
        <v>211324.36</v>
      </c>
      <c r="T410">
        <v>719355.86</v>
      </c>
      <c r="U410">
        <v>75</v>
      </c>
      <c r="V410">
        <v>64641.14</v>
      </c>
      <c r="W410">
        <v>20276.73</v>
      </c>
      <c r="X410">
        <v>47918.18</v>
      </c>
      <c r="Y410">
        <v>564102</v>
      </c>
      <c r="Z410">
        <v>56596.09</v>
      </c>
      <c r="AA410">
        <v>6101.06</v>
      </c>
      <c r="AB410">
        <v>211324.36</v>
      </c>
      <c r="AC410">
        <v>719355.86</v>
      </c>
      <c r="AD410">
        <v>1.31</v>
      </c>
      <c r="AE410">
        <v>1.23</v>
      </c>
      <c r="AF410">
        <v>2.14</v>
      </c>
      <c r="AG410">
        <v>2.4900000000000002</v>
      </c>
      <c r="AH410">
        <v>223490.79</v>
      </c>
      <c r="AI410">
        <v>72770.820000000007</v>
      </c>
      <c r="AJ410">
        <v>130998.96</v>
      </c>
      <c r="AK410">
        <v>2681316</v>
      </c>
      <c r="AL410">
        <v>121237.23</v>
      </c>
      <c r="AM410">
        <v>26377.79</v>
      </c>
      <c r="AN410">
        <v>259242.53999999899</v>
      </c>
      <c r="AO410">
        <v>1283457.8599999901</v>
      </c>
      <c r="AP410">
        <v>106507.709999999</v>
      </c>
      <c r="AQ410">
        <v>1559.1099999999799</v>
      </c>
      <c r="AR410">
        <v>94151.279999999897</v>
      </c>
      <c r="AS410">
        <v>-2551932.1799999899</v>
      </c>
      <c r="AT410">
        <v>34.019399999999997</v>
      </c>
      <c r="AU410">
        <v>33.032837399999998</v>
      </c>
      <c r="AV410">
        <v>18603928.859492999</v>
      </c>
      <c r="AW410">
        <v>48301831.600000001</v>
      </c>
      <c r="AX410">
        <v>2.5963242476791701</v>
      </c>
      <c r="AY410">
        <v>580563.94680000003</v>
      </c>
      <c r="AZ410">
        <v>1.0297869870582701</v>
      </c>
      <c r="BA410">
        <v>642248.65853658505</v>
      </c>
      <c r="BB410">
        <v>1.1392014861791699</v>
      </c>
      <c r="BC410">
        <v>25.537431074393901</v>
      </c>
    </row>
    <row r="411" spans="1:55" x14ac:dyDescent="0.2">
      <c r="A411" t="s">
        <v>857</v>
      </c>
      <c r="B411" t="s">
        <v>858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1</v>
      </c>
      <c r="L411">
        <v>0.7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0.7</v>
      </c>
      <c r="AQ411">
        <v>1</v>
      </c>
      <c r="AR411">
        <v>1</v>
      </c>
      <c r="AS411">
        <v>0</v>
      </c>
      <c r="AT411">
        <v>0.453592</v>
      </c>
      <c r="AU411">
        <v>0.44043783199999997</v>
      </c>
      <c r="AV411">
        <v>0</v>
      </c>
      <c r="AW411">
        <v>0</v>
      </c>
    </row>
    <row r="412" spans="1:55" x14ac:dyDescent="0.2">
      <c r="A412" t="s">
        <v>859</v>
      </c>
      <c r="B412" t="s">
        <v>860</v>
      </c>
      <c r="C412">
        <v>2750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2750</v>
      </c>
      <c r="J412">
        <v>71386.09</v>
      </c>
      <c r="K412">
        <v>933284.76</v>
      </c>
      <c r="L412">
        <v>653299.32999999996</v>
      </c>
      <c r="M412">
        <v>158122.87</v>
      </c>
      <c r="N412">
        <v>531716.65</v>
      </c>
      <c r="O412">
        <v>1298385</v>
      </c>
      <c r="P412">
        <v>57931996</v>
      </c>
      <c r="Q412">
        <v>254197.11</v>
      </c>
      <c r="R412">
        <v>22616.09</v>
      </c>
      <c r="S412">
        <v>371836.19</v>
      </c>
      <c r="T412">
        <v>2692785.84</v>
      </c>
      <c r="U412">
        <v>72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539223.26</v>
      </c>
      <c r="AI412">
        <v>85297.13</v>
      </c>
      <c r="AJ412">
        <v>659465.17000000004</v>
      </c>
      <c r="AK412">
        <v>5248901.76</v>
      </c>
      <c r="AL412">
        <v>0</v>
      </c>
      <c r="AM412">
        <v>0</v>
      </c>
      <c r="AN412">
        <v>0</v>
      </c>
      <c r="AO412">
        <v>0</v>
      </c>
      <c r="AP412">
        <v>368273.179999999</v>
      </c>
      <c r="AQ412">
        <v>95441.8299999999</v>
      </c>
      <c r="AR412">
        <v>244087.67</v>
      </c>
      <c r="AS412">
        <v>-1257730.92</v>
      </c>
      <c r="AT412">
        <v>32.658624000000003</v>
      </c>
      <c r="AU412">
        <v>31.711523904</v>
      </c>
      <c r="AV412">
        <v>31830442.118639998</v>
      </c>
      <c r="AW412">
        <v>219296356.97836</v>
      </c>
      <c r="AX412">
        <v>6.8895165251235797</v>
      </c>
      <c r="AY412">
        <v>922308.282799999</v>
      </c>
      <c r="AZ412">
        <v>0.98823887663182197</v>
      </c>
      <c r="BA412">
        <v>1003750</v>
      </c>
      <c r="BB412">
        <v>1.07550240078922</v>
      </c>
      <c r="BC412">
        <v>25.958578181818101</v>
      </c>
    </row>
    <row r="413" spans="1:55" x14ac:dyDescent="0.2">
      <c r="A413" t="s">
        <v>861</v>
      </c>
      <c r="B413" t="s">
        <v>862</v>
      </c>
      <c r="C413">
        <v>320</v>
      </c>
      <c r="D413">
        <v>0</v>
      </c>
      <c r="E413">
        <v>0</v>
      </c>
      <c r="F413">
        <v>0</v>
      </c>
      <c r="G413">
        <v>0</v>
      </c>
      <c r="H413">
        <v>350</v>
      </c>
      <c r="I413">
        <v>670</v>
      </c>
      <c r="J413">
        <v>9523.69</v>
      </c>
      <c r="K413">
        <v>126534.41</v>
      </c>
      <c r="L413">
        <v>88574.09</v>
      </c>
      <c r="M413">
        <v>19667.939999999999</v>
      </c>
      <c r="N413">
        <v>61872.480000000003</v>
      </c>
      <c r="O413">
        <v>151084.79999999999</v>
      </c>
      <c r="P413">
        <v>12696000</v>
      </c>
      <c r="Q413">
        <v>40034.97</v>
      </c>
      <c r="R413">
        <v>6753.46</v>
      </c>
      <c r="S413">
        <v>70529.600000000006</v>
      </c>
      <c r="T413">
        <v>634823.51</v>
      </c>
      <c r="U413">
        <v>72</v>
      </c>
      <c r="V413">
        <v>0</v>
      </c>
      <c r="W413">
        <v>0</v>
      </c>
      <c r="X413">
        <v>0</v>
      </c>
      <c r="Y413">
        <v>0</v>
      </c>
      <c r="Z413">
        <v>40034.97</v>
      </c>
      <c r="AA413">
        <v>6753.46</v>
      </c>
      <c r="AB413">
        <v>70529.600000000006</v>
      </c>
      <c r="AC413">
        <v>634823.51</v>
      </c>
      <c r="AD413">
        <v>1.23</v>
      </c>
      <c r="AE413">
        <v>0.98</v>
      </c>
      <c r="AF413">
        <v>1.24</v>
      </c>
      <c r="AG413">
        <v>4.95</v>
      </c>
      <c r="AH413">
        <v>16747.38</v>
      </c>
      <c r="AI413">
        <v>6950.71</v>
      </c>
      <c r="AJ413">
        <v>37106.94</v>
      </c>
      <c r="AK413">
        <v>619543.6</v>
      </c>
      <c r="AL413">
        <v>40034.97</v>
      </c>
      <c r="AM413">
        <v>6753.46</v>
      </c>
      <c r="AN413">
        <v>70529.600000000006</v>
      </c>
      <c r="AO413">
        <v>634823.51</v>
      </c>
      <c r="AP413">
        <v>71826.709999999905</v>
      </c>
      <c r="AQ413">
        <v>12717.23</v>
      </c>
      <c r="AR413">
        <v>24765.54</v>
      </c>
      <c r="AS413">
        <v>-468458.799999999</v>
      </c>
      <c r="AT413">
        <v>32.658624000000003</v>
      </c>
      <c r="AU413">
        <v>31.711523904</v>
      </c>
      <c r="AV413">
        <v>3703905.9919872</v>
      </c>
      <c r="AW413">
        <v>48059565.359999999</v>
      </c>
      <c r="AX413">
        <v>12.9753739603459</v>
      </c>
      <c r="AY413">
        <v>123046.0748</v>
      </c>
      <c r="AZ413">
        <v>0.97243172667418998</v>
      </c>
      <c r="BA413">
        <v>132379.26829268201</v>
      </c>
      <c r="BB413">
        <v>1.0461918484677999</v>
      </c>
      <c r="BC413">
        <v>21.255922155688602</v>
      </c>
    </row>
    <row r="414" spans="1:55" x14ac:dyDescent="0.2">
      <c r="A414" t="s">
        <v>863</v>
      </c>
      <c r="B414" t="s">
        <v>864</v>
      </c>
      <c r="C414">
        <v>0</v>
      </c>
      <c r="D414">
        <v>0</v>
      </c>
      <c r="E414">
        <v>205</v>
      </c>
      <c r="F414">
        <v>525</v>
      </c>
      <c r="G414">
        <v>130</v>
      </c>
      <c r="H414">
        <v>0</v>
      </c>
      <c r="I414">
        <v>860</v>
      </c>
      <c r="J414">
        <v>7431.21</v>
      </c>
      <c r="K414">
        <v>76128</v>
      </c>
      <c r="L414">
        <v>53289.599999999999</v>
      </c>
      <c r="M414">
        <v>12226.96</v>
      </c>
      <c r="N414">
        <v>1</v>
      </c>
      <c r="O414">
        <v>0</v>
      </c>
      <c r="P414">
        <v>8507550</v>
      </c>
      <c r="Q414">
        <v>40149.24</v>
      </c>
      <c r="R414">
        <v>8557.42</v>
      </c>
      <c r="S414">
        <v>74936.28</v>
      </c>
      <c r="T414">
        <v>242298.16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14199.85</v>
      </c>
      <c r="AA414">
        <v>3185.28</v>
      </c>
      <c r="AB414">
        <v>26452.98</v>
      </c>
      <c r="AC414">
        <v>86716.23</v>
      </c>
      <c r="AD414">
        <v>1.31</v>
      </c>
      <c r="AE414">
        <v>0.86</v>
      </c>
      <c r="AF414">
        <v>1.35</v>
      </c>
      <c r="AG414">
        <v>1.54</v>
      </c>
      <c r="AH414">
        <v>88063.3</v>
      </c>
      <c r="AI414">
        <v>18943.86</v>
      </c>
      <c r="AJ414">
        <v>158349.54</v>
      </c>
      <c r="AK414">
        <v>1828708.33</v>
      </c>
      <c r="AL414">
        <v>14199.85</v>
      </c>
      <c r="AM414">
        <v>3185.28</v>
      </c>
      <c r="AN414">
        <v>26452.98</v>
      </c>
      <c r="AO414">
        <v>86716.23</v>
      </c>
      <c r="AP414">
        <v>-8824.3100000000104</v>
      </c>
      <c r="AQ414">
        <v>-1344.76</v>
      </c>
      <c r="AR414">
        <v>-109865.24</v>
      </c>
      <c r="AS414">
        <v>-1673126.4</v>
      </c>
      <c r="AT414">
        <v>0.453592</v>
      </c>
      <c r="AU414">
        <v>0.44043783199999997</v>
      </c>
      <c r="AV414">
        <v>0</v>
      </c>
      <c r="AW414">
        <v>32204564.8455</v>
      </c>
      <c r="AY414">
        <v>96011.233200000002</v>
      </c>
      <c r="AZ414">
        <v>1.26118160466582</v>
      </c>
      <c r="BA414">
        <v>103268.292682926</v>
      </c>
      <c r="BB414">
        <v>1.3565086785798499</v>
      </c>
      <c r="BC414">
        <v>23.618574418604599</v>
      </c>
    </row>
    <row r="415" spans="1:55" x14ac:dyDescent="0.2">
      <c r="A415" t="s">
        <v>865</v>
      </c>
      <c r="B415" t="s">
        <v>866</v>
      </c>
      <c r="C415">
        <v>2710</v>
      </c>
      <c r="D415">
        <v>295</v>
      </c>
      <c r="E415">
        <v>830</v>
      </c>
      <c r="F415">
        <v>670</v>
      </c>
      <c r="G415">
        <v>490</v>
      </c>
      <c r="H415">
        <v>0</v>
      </c>
      <c r="I415">
        <v>4995</v>
      </c>
      <c r="J415">
        <v>95031.22</v>
      </c>
      <c r="K415">
        <v>1183240.1100000001</v>
      </c>
      <c r="L415">
        <v>828268.08</v>
      </c>
      <c r="M415">
        <v>196547.47</v>
      </c>
      <c r="N415">
        <v>541836.06999999995</v>
      </c>
      <c r="O415">
        <v>1347520.5</v>
      </c>
      <c r="P415">
        <v>136395000</v>
      </c>
      <c r="Q415">
        <v>477100.31</v>
      </c>
      <c r="R415">
        <v>43739.05</v>
      </c>
      <c r="S415">
        <v>642991.78</v>
      </c>
      <c r="T415">
        <v>3348385.19</v>
      </c>
      <c r="U415">
        <v>82</v>
      </c>
      <c r="V415">
        <v>117640.54</v>
      </c>
      <c r="W415">
        <v>25455.74</v>
      </c>
      <c r="X415">
        <v>98034.38</v>
      </c>
      <c r="Y415">
        <v>636870.6</v>
      </c>
      <c r="Z415">
        <v>477100.31</v>
      </c>
      <c r="AA415">
        <v>43739.05</v>
      </c>
      <c r="AB415">
        <v>642991.78</v>
      </c>
      <c r="AC415">
        <v>3348385.19</v>
      </c>
      <c r="AD415">
        <v>1.04</v>
      </c>
      <c r="AE415">
        <v>0.62</v>
      </c>
      <c r="AF415">
        <v>0.95</v>
      </c>
      <c r="AG415">
        <v>2.4</v>
      </c>
      <c r="AH415">
        <v>0</v>
      </c>
      <c r="AI415">
        <v>0</v>
      </c>
      <c r="AJ415">
        <v>0</v>
      </c>
      <c r="AK415">
        <v>0</v>
      </c>
      <c r="AL415">
        <v>594740.85</v>
      </c>
      <c r="AM415">
        <v>69194.789999999994</v>
      </c>
      <c r="AN415">
        <v>741026.16</v>
      </c>
      <c r="AO415">
        <v>3985255.79</v>
      </c>
      <c r="AP415">
        <v>710627.53999999899</v>
      </c>
      <c r="AQ415">
        <v>171091.73</v>
      </c>
      <c r="AR415">
        <v>443801.69</v>
      </c>
      <c r="AS415">
        <v>710649.89999999898</v>
      </c>
      <c r="AT415">
        <v>37.194544</v>
      </c>
      <c r="AU415">
        <v>36.115902224000003</v>
      </c>
      <c r="AV415">
        <v>39612824.456838802</v>
      </c>
      <c r="AW415">
        <v>516310996.94999999</v>
      </c>
      <c r="AX415">
        <v>13.033935449681399</v>
      </c>
      <c r="AY415">
        <v>1227803.3624</v>
      </c>
      <c r="AZ415">
        <v>1.0376620535623999</v>
      </c>
      <c r="BA415">
        <v>1318940.8536585299</v>
      </c>
      <c r="BB415">
        <v>1.1146857197551701</v>
      </c>
      <c r="BC415">
        <v>25.456731371075701</v>
      </c>
    </row>
    <row r="416" spans="1:55" x14ac:dyDescent="0.2">
      <c r="A416" t="s">
        <v>867</v>
      </c>
      <c r="B416" t="s">
        <v>868</v>
      </c>
      <c r="C416">
        <v>4791</v>
      </c>
      <c r="D416">
        <v>711</v>
      </c>
      <c r="E416">
        <v>1065</v>
      </c>
      <c r="F416">
        <v>965</v>
      </c>
      <c r="G416">
        <v>900</v>
      </c>
      <c r="H416">
        <v>995</v>
      </c>
      <c r="I416">
        <v>9427</v>
      </c>
      <c r="J416">
        <v>168987.02</v>
      </c>
      <c r="K416">
        <v>2149543.69</v>
      </c>
      <c r="L416">
        <v>1504680.58</v>
      </c>
      <c r="M416">
        <v>351187.61</v>
      </c>
      <c r="N416">
        <v>970535.43</v>
      </c>
      <c r="O416">
        <v>2425965.12</v>
      </c>
      <c r="P416">
        <v>218010805</v>
      </c>
      <c r="Q416">
        <v>788510.83</v>
      </c>
      <c r="R416">
        <v>94734.8</v>
      </c>
      <c r="S416">
        <v>1322461.03</v>
      </c>
      <c r="T416">
        <v>5686263.6699999999</v>
      </c>
      <c r="U416">
        <v>86</v>
      </c>
      <c r="V416">
        <v>15652.5</v>
      </c>
      <c r="W416">
        <v>4594.51</v>
      </c>
      <c r="X416">
        <v>15418.88</v>
      </c>
      <c r="Y416">
        <v>0</v>
      </c>
      <c r="Z416">
        <v>714551.16</v>
      </c>
      <c r="AA416">
        <v>85841.67</v>
      </c>
      <c r="AB416">
        <v>1199693.96</v>
      </c>
      <c r="AC416">
        <v>5096382.8899999997</v>
      </c>
      <c r="AD416">
        <v>1.21</v>
      </c>
      <c r="AE416">
        <v>0.87</v>
      </c>
      <c r="AF416">
        <v>1.3</v>
      </c>
      <c r="AG416">
        <v>2.35</v>
      </c>
      <c r="AH416">
        <v>402527.5</v>
      </c>
      <c r="AI416">
        <v>49964.1</v>
      </c>
      <c r="AJ416">
        <v>196484.21</v>
      </c>
      <c r="AK416">
        <v>4602199.4000000004</v>
      </c>
      <c r="AL416">
        <v>730203.66</v>
      </c>
      <c r="AM416">
        <v>90436.18</v>
      </c>
      <c r="AN416">
        <v>1215112.8399999901</v>
      </c>
      <c r="AO416">
        <v>5096382.8899999997</v>
      </c>
      <c r="AP416">
        <v>1160460.25</v>
      </c>
      <c r="AQ416">
        <v>305522.13</v>
      </c>
      <c r="AR416">
        <v>881399.41</v>
      </c>
      <c r="AS416">
        <v>-1586353.5</v>
      </c>
      <c r="AT416">
        <v>39.008912000000002</v>
      </c>
      <c r="AU416">
        <v>37.877653551999998</v>
      </c>
      <c r="AV416">
        <v>76067040.1927329</v>
      </c>
      <c r="AW416">
        <v>825260281.35504997</v>
      </c>
      <c r="AX416">
        <v>10.8491178211228</v>
      </c>
      <c r="AY416">
        <v>2183312.29839999</v>
      </c>
      <c r="AZ416">
        <v>1.0157096636635401</v>
      </c>
      <c r="BA416">
        <v>2363659.8780487799</v>
      </c>
      <c r="BB416">
        <v>1.0996100656362</v>
      </c>
      <c r="BC416">
        <v>24.356819554449299</v>
      </c>
    </row>
    <row r="417" spans="1:55" x14ac:dyDescent="0.2">
      <c r="A417" t="s">
        <v>869</v>
      </c>
      <c r="B417" t="s">
        <v>870</v>
      </c>
      <c r="C417">
        <v>2035</v>
      </c>
      <c r="D417">
        <v>285</v>
      </c>
      <c r="E417">
        <v>900</v>
      </c>
      <c r="F417">
        <v>0</v>
      </c>
      <c r="G417">
        <v>0</v>
      </c>
      <c r="H417">
        <v>0</v>
      </c>
      <c r="I417">
        <v>3220</v>
      </c>
      <c r="J417">
        <v>65599.37</v>
      </c>
      <c r="K417">
        <v>822167.36</v>
      </c>
      <c r="L417">
        <v>575517.15</v>
      </c>
      <c r="M417">
        <v>137237.51</v>
      </c>
      <c r="N417">
        <v>390789.01</v>
      </c>
      <c r="O417">
        <v>1026520.2</v>
      </c>
      <c r="P417">
        <v>35370000</v>
      </c>
      <c r="Q417">
        <v>143698.4</v>
      </c>
      <c r="R417">
        <v>8391.07</v>
      </c>
      <c r="S417">
        <v>217441.37</v>
      </c>
      <c r="T417">
        <v>1617619</v>
      </c>
      <c r="U417">
        <v>70</v>
      </c>
      <c r="V417">
        <v>32636.74</v>
      </c>
      <c r="W417">
        <v>4645.9399999999996</v>
      </c>
      <c r="X417">
        <v>9541.4500000000007</v>
      </c>
      <c r="Y417">
        <v>1292030.78</v>
      </c>
      <c r="Z417">
        <v>143698.4</v>
      </c>
      <c r="AA417">
        <v>8391.07</v>
      </c>
      <c r="AB417">
        <v>217441.37</v>
      </c>
      <c r="AC417">
        <v>1617619</v>
      </c>
      <c r="AD417">
        <v>1.07</v>
      </c>
      <c r="AE417">
        <v>0.43</v>
      </c>
      <c r="AF417">
        <v>0.71</v>
      </c>
      <c r="AG417">
        <v>8.15</v>
      </c>
      <c r="AH417">
        <v>177771.36</v>
      </c>
      <c r="AI417">
        <v>30613.86</v>
      </c>
      <c r="AJ417">
        <v>58053.42</v>
      </c>
      <c r="AK417">
        <v>1474724</v>
      </c>
      <c r="AL417">
        <v>176335.139999999</v>
      </c>
      <c r="AM417">
        <v>13037.0099999999</v>
      </c>
      <c r="AN417">
        <v>226982.82</v>
      </c>
      <c r="AO417">
        <v>2909649.78</v>
      </c>
      <c r="AP417">
        <v>365109.05</v>
      </c>
      <c r="AQ417">
        <v>101977.71</v>
      </c>
      <c r="AR417">
        <v>323194.14</v>
      </c>
      <c r="AS417">
        <v>-1740234.58</v>
      </c>
      <c r="AT417">
        <v>31.751439999999999</v>
      </c>
      <c r="AU417">
        <v>30.830648239999999</v>
      </c>
      <c r="AV417">
        <v>26107392.929632001</v>
      </c>
      <c r="AW417">
        <v>133889951.7</v>
      </c>
      <c r="AX417">
        <v>5.1284305583815799</v>
      </c>
      <c r="AY417">
        <v>847543.86039999896</v>
      </c>
      <c r="AZ417">
        <v>1.0308653707683</v>
      </c>
      <c r="BA417">
        <v>966982.92682926799</v>
      </c>
      <c r="BB417">
        <v>1.1761387934802801</v>
      </c>
      <c r="BC417">
        <v>24.761316240103099</v>
      </c>
    </row>
    <row r="418" spans="1:55" x14ac:dyDescent="0.2">
      <c r="A418" t="s">
        <v>871</v>
      </c>
      <c r="B418" t="s">
        <v>872</v>
      </c>
      <c r="C418">
        <v>520</v>
      </c>
      <c r="D418">
        <v>48</v>
      </c>
      <c r="E418">
        <v>420</v>
      </c>
      <c r="F418">
        <v>375</v>
      </c>
      <c r="G418">
        <v>170</v>
      </c>
      <c r="H418">
        <v>0</v>
      </c>
      <c r="I418">
        <v>1533</v>
      </c>
      <c r="J418">
        <v>23346.17</v>
      </c>
      <c r="K418">
        <v>280024.03000000003</v>
      </c>
      <c r="L418">
        <v>196016.82</v>
      </c>
      <c r="M418">
        <v>46390.27</v>
      </c>
      <c r="N418">
        <v>104996.27</v>
      </c>
      <c r="O418">
        <v>256580.64</v>
      </c>
      <c r="P418">
        <v>21217000</v>
      </c>
      <c r="Q418">
        <v>59636.19</v>
      </c>
      <c r="R418">
        <v>8345.7000000000007</v>
      </c>
      <c r="S418">
        <v>68059.03</v>
      </c>
      <c r="T418">
        <v>335169.53999999998</v>
      </c>
      <c r="U418">
        <v>85</v>
      </c>
      <c r="V418">
        <v>65409.26</v>
      </c>
      <c r="W418">
        <v>17954.990000000002</v>
      </c>
      <c r="X418">
        <v>63747.08</v>
      </c>
      <c r="Y418">
        <v>0</v>
      </c>
      <c r="Z418">
        <v>59636.19</v>
      </c>
      <c r="AA418">
        <v>8345.7000000000007</v>
      </c>
      <c r="AB418">
        <v>68059.03</v>
      </c>
      <c r="AC418">
        <v>335169.53999999998</v>
      </c>
      <c r="AD418">
        <v>1.01</v>
      </c>
      <c r="AE418">
        <v>0.86</v>
      </c>
      <c r="AF418">
        <v>0.84</v>
      </c>
      <c r="AG418">
        <v>0.78</v>
      </c>
      <c r="AH418">
        <v>69357.600000000006</v>
      </c>
      <c r="AI418">
        <v>16468.8</v>
      </c>
      <c r="AJ418">
        <v>94584.44</v>
      </c>
      <c r="AK418">
        <v>2456208</v>
      </c>
      <c r="AL418">
        <v>125045.45</v>
      </c>
      <c r="AM418">
        <v>26300.69</v>
      </c>
      <c r="AN418">
        <v>131806.10999999999</v>
      </c>
      <c r="AO418">
        <v>335169.53999999998</v>
      </c>
      <c r="AP418">
        <v>61249.959999999897</v>
      </c>
      <c r="AQ418">
        <v>11966.48</v>
      </c>
      <c r="AR418">
        <v>-53335.25</v>
      </c>
      <c r="AS418">
        <v>-2199627.36</v>
      </c>
      <c r="AT418">
        <v>38.555320000000002</v>
      </c>
      <c r="AU418">
        <v>37.437215719999998</v>
      </c>
      <c r="AV418">
        <v>7761483.5630703904</v>
      </c>
      <c r="AW418">
        <v>80315043.969999999</v>
      </c>
      <c r="AX418">
        <v>10.3478984806646</v>
      </c>
      <c r="AY418">
        <v>301632.51639999897</v>
      </c>
      <c r="AZ418">
        <v>1.07716654317131</v>
      </c>
      <c r="BA418">
        <v>321048.65853658499</v>
      </c>
      <c r="BB418">
        <v>1.14650395730889</v>
      </c>
      <c r="BC418">
        <v>25.347376267775299</v>
      </c>
    </row>
    <row r="419" spans="1:55" x14ac:dyDescent="0.2">
      <c r="A419" t="s">
        <v>873</v>
      </c>
      <c r="B419" t="s">
        <v>874</v>
      </c>
      <c r="C419">
        <v>750</v>
      </c>
      <c r="D419">
        <v>135</v>
      </c>
      <c r="E419">
        <v>150</v>
      </c>
      <c r="F419">
        <v>100</v>
      </c>
      <c r="G419">
        <v>100</v>
      </c>
      <c r="H419">
        <v>100</v>
      </c>
      <c r="I419">
        <v>1335</v>
      </c>
      <c r="J419">
        <v>23474.76</v>
      </c>
      <c r="K419">
        <v>299427.23</v>
      </c>
      <c r="L419">
        <v>209599.06</v>
      </c>
      <c r="M419">
        <v>48589.9</v>
      </c>
      <c r="N419">
        <v>139084.43</v>
      </c>
      <c r="O419">
        <v>385233.3</v>
      </c>
      <c r="P419">
        <v>7344000</v>
      </c>
      <c r="Q419">
        <v>30882.27</v>
      </c>
      <c r="R419">
        <v>4666.03</v>
      </c>
      <c r="S419">
        <v>52632.98</v>
      </c>
      <c r="T419">
        <v>338357.04</v>
      </c>
      <c r="U419">
        <v>60</v>
      </c>
      <c r="V419">
        <v>13697.1</v>
      </c>
      <c r="W419">
        <v>5538.92</v>
      </c>
      <c r="X419">
        <v>9684.09</v>
      </c>
      <c r="Y419">
        <v>0</v>
      </c>
      <c r="Z419">
        <v>30882.27</v>
      </c>
      <c r="AA419">
        <v>4666.03</v>
      </c>
      <c r="AB419">
        <v>52632.98</v>
      </c>
      <c r="AC419">
        <v>338357.04</v>
      </c>
      <c r="AD419">
        <v>1.34</v>
      </c>
      <c r="AE419">
        <v>0.28000000000000003</v>
      </c>
      <c r="AF419">
        <v>0.53</v>
      </c>
      <c r="AG419">
        <v>0.52</v>
      </c>
      <c r="AH419">
        <v>0</v>
      </c>
      <c r="AI419">
        <v>0</v>
      </c>
      <c r="AJ419">
        <v>0</v>
      </c>
      <c r="AK419">
        <v>0</v>
      </c>
      <c r="AL419">
        <v>44579.37</v>
      </c>
      <c r="AM419">
        <v>10204.950000000001</v>
      </c>
      <c r="AN419">
        <v>62317.07</v>
      </c>
      <c r="AO419">
        <v>338357.04</v>
      </c>
      <c r="AP419">
        <v>195901.96</v>
      </c>
      <c r="AQ419">
        <v>43050.979999999901</v>
      </c>
      <c r="AR419">
        <v>129400.34</v>
      </c>
      <c r="AS419">
        <v>385233.3</v>
      </c>
      <c r="AT419">
        <v>27.215519999999898</v>
      </c>
      <c r="AU419">
        <v>26.4262699199999</v>
      </c>
      <c r="AV419">
        <v>8536345.8409079891</v>
      </c>
      <c r="AW419">
        <v>27800051.039999999</v>
      </c>
      <c r="AX419">
        <v>3.2566687852284701</v>
      </c>
      <c r="AY419">
        <v>303293.89919999999</v>
      </c>
      <c r="AZ419">
        <v>1.0129135523178701</v>
      </c>
      <c r="BA419">
        <v>365311.58536585298</v>
      </c>
      <c r="BB419">
        <v>1.22003461530821</v>
      </c>
      <c r="BC419">
        <v>22.364706866504001</v>
      </c>
    </row>
    <row r="420" spans="1:55" x14ac:dyDescent="0.2">
      <c r="A420" t="s">
        <v>875</v>
      </c>
      <c r="B420" t="s">
        <v>876</v>
      </c>
      <c r="C420">
        <v>695</v>
      </c>
      <c r="D420">
        <v>55</v>
      </c>
      <c r="E420">
        <v>355</v>
      </c>
      <c r="F420">
        <v>250</v>
      </c>
      <c r="G420">
        <v>0</v>
      </c>
      <c r="H420">
        <v>0</v>
      </c>
      <c r="I420">
        <v>1355</v>
      </c>
      <c r="J420">
        <v>25603.09</v>
      </c>
      <c r="K420">
        <v>312058.28000000003</v>
      </c>
      <c r="L420">
        <v>218440.8</v>
      </c>
      <c r="M420">
        <v>52606.49</v>
      </c>
      <c r="N420">
        <v>138042.23000000001</v>
      </c>
      <c r="O420">
        <v>340819.20000000001</v>
      </c>
      <c r="P420">
        <v>28611000</v>
      </c>
      <c r="Q420">
        <v>109967.25</v>
      </c>
      <c r="R420">
        <v>13275.07</v>
      </c>
      <c r="S420">
        <v>229005.33</v>
      </c>
      <c r="T420">
        <v>1215906.3899999999</v>
      </c>
      <c r="U420">
        <v>80</v>
      </c>
      <c r="V420">
        <v>41433</v>
      </c>
      <c r="W420">
        <v>14171.28</v>
      </c>
      <c r="X420">
        <v>13293.17</v>
      </c>
      <c r="Y420">
        <v>0</v>
      </c>
      <c r="Z420">
        <v>109967.25</v>
      </c>
      <c r="AA420">
        <v>13275.07</v>
      </c>
      <c r="AB420">
        <v>229005.33</v>
      </c>
      <c r="AC420">
        <v>1215906.3899999999</v>
      </c>
      <c r="AD420">
        <v>1.1299999999999999</v>
      </c>
      <c r="AE420">
        <v>0.95</v>
      </c>
      <c r="AF420">
        <v>1.1100000000000001</v>
      </c>
      <c r="AG420">
        <v>1.4</v>
      </c>
      <c r="AH420">
        <v>0</v>
      </c>
      <c r="AI420">
        <v>0</v>
      </c>
      <c r="AJ420">
        <v>0</v>
      </c>
      <c r="AK420">
        <v>0</v>
      </c>
      <c r="AL420">
        <v>151400.25</v>
      </c>
      <c r="AM420">
        <v>27446.35</v>
      </c>
      <c r="AN420">
        <v>242298.5</v>
      </c>
      <c r="AO420">
        <v>1215906.3899999999</v>
      </c>
      <c r="AP420">
        <v>177007.8</v>
      </c>
      <c r="AQ420">
        <v>38435.21</v>
      </c>
      <c r="AR420">
        <v>124749.06</v>
      </c>
      <c r="AS420">
        <v>340819.19999999902</v>
      </c>
      <c r="AT420">
        <v>36.28736</v>
      </c>
      <c r="AU420">
        <v>35.235026560000001</v>
      </c>
      <c r="AV420">
        <v>9645588.5208000001</v>
      </c>
      <c r="AW420">
        <v>108304365.51000001</v>
      </c>
      <c r="AX420">
        <v>11.228383346070499</v>
      </c>
      <c r="AY420">
        <v>330791.9228</v>
      </c>
      <c r="AZ420">
        <v>1.0600325131574699</v>
      </c>
      <c r="BA420">
        <v>354539.63414634101</v>
      </c>
      <c r="BB420">
        <v>1.1361327574655</v>
      </c>
      <c r="BC420">
        <v>26.358485624607599</v>
      </c>
    </row>
    <row r="421" spans="1:55" x14ac:dyDescent="0.2">
      <c r="A421" t="s">
        <v>877</v>
      </c>
      <c r="B421" t="s">
        <v>878</v>
      </c>
      <c r="C421">
        <v>1090</v>
      </c>
      <c r="D421">
        <v>146</v>
      </c>
      <c r="E421">
        <v>522</v>
      </c>
      <c r="F421">
        <v>365</v>
      </c>
      <c r="G421">
        <v>89</v>
      </c>
      <c r="H421">
        <v>0</v>
      </c>
      <c r="I421">
        <v>2212</v>
      </c>
      <c r="J421">
        <v>39224.19</v>
      </c>
      <c r="K421">
        <v>478896.85</v>
      </c>
      <c r="L421">
        <v>335227.8</v>
      </c>
      <c r="M421">
        <v>79574.14</v>
      </c>
      <c r="N421">
        <v>207880.78</v>
      </c>
      <c r="O421">
        <v>548297.28</v>
      </c>
      <c r="P421">
        <v>18315000</v>
      </c>
      <c r="Q421">
        <v>61248.88</v>
      </c>
      <c r="R421">
        <v>4960.1899999999996</v>
      </c>
      <c r="S421">
        <v>65983.5</v>
      </c>
      <c r="T421">
        <v>636169.39</v>
      </c>
      <c r="U421">
        <v>68</v>
      </c>
      <c r="V421">
        <v>64846.09</v>
      </c>
      <c r="W421">
        <v>20619.25</v>
      </c>
      <c r="X421">
        <v>65502.42</v>
      </c>
      <c r="Y421">
        <v>0</v>
      </c>
      <c r="Z421">
        <v>61248.88</v>
      </c>
      <c r="AA421">
        <v>4960.1899999999996</v>
      </c>
      <c r="AB421">
        <v>65983.5</v>
      </c>
      <c r="AC421">
        <v>636169.39</v>
      </c>
      <c r="AD421">
        <v>1.1200000000000001</v>
      </c>
      <c r="AE421">
        <v>1.18</v>
      </c>
      <c r="AF421">
        <v>1.05</v>
      </c>
      <c r="AG421">
        <v>6.51</v>
      </c>
      <c r="AH421">
        <v>190690.16</v>
      </c>
      <c r="AI421">
        <v>57700.22</v>
      </c>
      <c r="AJ421">
        <v>246548</v>
      </c>
      <c r="AK421">
        <v>2559180.7999999998</v>
      </c>
      <c r="AL421">
        <v>126094.97</v>
      </c>
      <c r="AM421">
        <v>25579.439999999999</v>
      </c>
      <c r="AN421">
        <v>131485.91999999899</v>
      </c>
      <c r="AO421">
        <v>636169.39</v>
      </c>
      <c r="AP421">
        <v>79691.549999999901</v>
      </c>
      <c r="AQ421">
        <v>1254.6699999999901</v>
      </c>
      <c r="AR421">
        <v>-104169.639999999</v>
      </c>
      <c r="AS421">
        <v>-2010883.52</v>
      </c>
      <c r="AT421">
        <v>30.844256000000001</v>
      </c>
      <c r="AU421">
        <v>29.949772576000001</v>
      </c>
      <c r="AV421">
        <v>13511540.3999366</v>
      </c>
      <c r="AW421">
        <v>69329784.150000006</v>
      </c>
      <c r="AX421">
        <v>5.1311532288594597</v>
      </c>
      <c r="AY421">
        <v>506776.53480000002</v>
      </c>
      <c r="AZ421">
        <v>1.05821647145935</v>
      </c>
      <c r="BA421">
        <v>573548.53658536496</v>
      </c>
      <c r="BB421">
        <v>1.19764524779264</v>
      </c>
      <c r="BC421">
        <v>24.6217127503215</v>
      </c>
    </row>
    <row r="422" spans="1:55" x14ac:dyDescent="0.2">
      <c r="A422" t="s">
        <v>879</v>
      </c>
      <c r="B422" t="s">
        <v>880</v>
      </c>
      <c r="C422">
        <v>750</v>
      </c>
      <c r="D422">
        <v>85</v>
      </c>
      <c r="E422">
        <v>70</v>
      </c>
      <c r="F422">
        <v>80</v>
      </c>
      <c r="G422">
        <v>70</v>
      </c>
      <c r="H422">
        <v>100</v>
      </c>
      <c r="I422">
        <v>1155</v>
      </c>
      <c r="J422">
        <v>21500.58</v>
      </c>
      <c r="K422">
        <v>279224.03000000003</v>
      </c>
      <c r="L422">
        <v>195456.82</v>
      </c>
      <c r="M422">
        <v>45663</v>
      </c>
      <c r="N422">
        <v>139084.43</v>
      </c>
      <c r="O422">
        <v>373704.3</v>
      </c>
      <c r="P422">
        <v>4662000</v>
      </c>
      <c r="Q422">
        <v>22932.07</v>
      </c>
      <c r="R422">
        <v>2329.36</v>
      </c>
      <c r="S422">
        <v>25972.92</v>
      </c>
      <c r="T422">
        <v>149526.04</v>
      </c>
      <c r="U422">
        <v>60</v>
      </c>
      <c r="V422">
        <v>13241.61</v>
      </c>
      <c r="W422">
        <v>2859.74</v>
      </c>
      <c r="X422">
        <v>16913.650000000001</v>
      </c>
      <c r="Y422">
        <v>120175.92</v>
      </c>
      <c r="Z422">
        <v>22932.07</v>
      </c>
      <c r="AA422">
        <v>2329.36</v>
      </c>
      <c r="AB422">
        <v>25972.92</v>
      </c>
      <c r="AC422">
        <v>149526.04</v>
      </c>
      <c r="AD422">
        <v>1.91</v>
      </c>
      <c r="AE422">
        <v>0.38</v>
      </c>
      <c r="AF422">
        <v>0.28000000000000003</v>
      </c>
      <c r="AG422">
        <v>2.2999999999999998</v>
      </c>
      <c r="AH422">
        <v>0</v>
      </c>
      <c r="AI422">
        <v>0</v>
      </c>
      <c r="AJ422">
        <v>0</v>
      </c>
      <c r="AK422">
        <v>0</v>
      </c>
      <c r="AL422">
        <v>36173.68</v>
      </c>
      <c r="AM422">
        <v>5189.1000000000004</v>
      </c>
      <c r="AN422">
        <v>42886.57</v>
      </c>
      <c r="AO422">
        <v>269701.96000000002</v>
      </c>
      <c r="AP422">
        <v>182215.21</v>
      </c>
      <c r="AQ422">
        <v>42803.26</v>
      </c>
      <c r="AR422">
        <v>122170.77999999899</v>
      </c>
      <c r="AS422">
        <v>253528.37999999899</v>
      </c>
      <c r="AT422">
        <v>27.215519999999898</v>
      </c>
      <c r="AU422">
        <v>26.4262699199999</v>
      </c>
      <c r="AV422">
        <v>8054066.4148679897</v>
      </c>
      <c r="AW422">
        <v>17647581.420000002</v>
      </c>
      <c r="AX422">
        <v>2.1911392967187502</v>
      </c>
      <c r="AY422">
        <v>277787.49359999999</v>
      </c>
      <c r="AZ422">
        <v>0.99485525511539896</v>
      </c>
      <c r="BA422">
        <v>332372.560975609</v>
      </c>
      <c r="BB422">
        <v>1.1903436855904099</v>
      </c>
      <c r="BC422">
        <v>22.582907134622701</v>
      </c>
    </row>
    <row r="423" spans="1:55" x14ac:dyDescent="0.2">
      <c r="A423" t="s">
        <v>881</v>
      </c>
      <c r="B423" t="s">
        <v>882</v>
      </c>
      <c r="C423">
        <v>850</v>
      </c>
      <c r="D423">
        <v>144</v>
      </c>
      <c r="E423">
        <v>300</v>
      </c>
      <c r="F423">
        <v>300</v>
      </c>
      <c r="G423">
        <v>0</v>
      </c>
      <c r="H423">
        <v>0</v>
      </c>
      <c r="I423">
        <v>1594</v>
      </c>
      <c r="J423">
        <v>30267.97</v>
      </c>
      <c r="K423">
        <v>373225.7</v>
      </c>
      <c r="L423">
        <v>261257.99</v>
      </c>
      <c r="M423">
        <v>62255.69</v>
      </c>
      <c r="N423">
        <v>164908.76</v>
      </c>
      <c r="O423">
        <v>434522.52</v>
      </c>
      <c r="P423">
        <v>13884000</v>
      </c>
      <c r="Q423">
        <v>50450.03</v>
      </c>
      <c r="R423">
        <v>8484.4599999999991</v>
      </c>
      <c r="S423">
        <v>112083.57</v>
      </c>
      <c r="T423">
        <v>633571.26</v>
      </c>
      <c r="U423">
        <v>73</v>
      </c>
      <c r="V423">
        <v>0</v>
      </c>
      <c r="W423">
        <v>0</v>
      </c>
      <c r="X423">
        <v>0</v>
      </c>
      <c r="Y423">
        <v>0</v>
      </c>
      <c r="Z423">
        <v>47003.46</v>
      </c>
      <c r="AA423">
        <v>7695.56</v>
      </c>
      <c r="AB423">
        <v>104399.58</v>
      </c>
      <c r="AC423">
        <v>585338.82999999996</v>
      </c>
      <c r="AD423">
        <v>1.21</v>
      </c>
      <c r="AE423">
        <v>1.24</v>
      </c>
      <c r="AF423">
        <v>1.54</v>
      </c>
      <c r="AG423">
        <v>2.57</v>
      </c>
      <c r="AH423">
        <v>190576.3</v>
      </c>
      <c r="AI423">
        <v>37054.089999999997</v>
      </c>
      <c r="AJ423">
        <v>110462.69</v>
      </c>
      <c r="AK423">
        <v>3025218.75</v>
      </c>
      <c r="AL423">
        <v>47003.46</v>
      </c>
      <c r="AM423">
        <v>7695.56</v>
      </c>
      <c r="AN423">
        <v>104399.58</v>
      </c>
      <c r="AO423">
        <v>585338.82999999996</v>
      </c>
      <c r="AP423">
        <v>74128.259999999995</v>
      </c>
      <c r="AQ423">
        <v>25990.5</v>
      </c>
      <c r="AR423">
        <v>62130.06</v>
      </c>
      <c r="AS423">
        <v>-2542463.7999999998</v>
      </c>
      <c r="AT423">
        <v>33.112215999999997</v>
      </c>
      <c r="AU423">
        <v>32.151961735999997</v>
      </c>
      <c r="AV423">
        <v>11665053.237438099</v>
      </c>
      <c r="AW423">
        <v>52556632.439999998</v>
      </c>
      <c r="AX423">
        <v>4.5054772893211599</v>
      </c>
      <c r="AY423">
        <v>391062.17239999998</v>
      </c>
      <c r="AZ423">
        <v>1.04779004339733</v>
      </c>
      <c r="BA423">
        <v>442931.95121951198</v>
      </c>
      <c r="BB423">
        <v>1.18676701850786</v>
      </c>
      <c r="BC423">
        <v>24.9424522651445</v>
      </c>
    </row>
    <row r="424" spans="1:55" x14ac:dyDescent="0.2">
      <c r="A424" t="s">
        <v>883</v>
      </c>
      <c r="B424" t="s">
        <v>884</v>
      </c>
      <c r="C424">
        <v>2015</v>
      </c>
      <c r="D424">
        <v>290</v>
      </c>
      <c r="E424">
        <v>895</v>
      </c>
      <c r="F424">
        <v>715</v>
      </c>
      <c r="G424">
        <v>265</v>
      </c>
      <c r="H424">
        <v>250</v>
      </c>
      <c r="I424">
        <v>4430</v>
      </c>
      <c r="J424">
        <v>73566.52</v>
      </c>
      <c r="K424">
        <v>910308.58</v>
      </c>
      <c r="L424">
        <v>637216.01</v>
      </c>
      <c r="M424">
        <v>149519.51</v>
      </c>
      <c r="N424">
        <v>386948.33</v>
      </c>
      <c r="O424">
        <v>1018230.3</v>
      </c>
      <c r="P424">
        <v>75470000</v>
      </c>
      <c r="Q424">
        <v>407524.55</v>
      </c>
      <c r="R424">
        <v>88723.42</v>
      </c>
      <c r="S424">
        <v>371289.81</v>
      </c>
      <c r="T424">
        <v>2182496.0099999998</v>
      </c>
      <c r="U424">
        <v>70</v>
      </c>
      <c r="V424">
        <v>0</v>
      </c>
      <c r="W424">
        <v>0</v>
      </c>
      <c r="X424">
        <v>0</v>
      </c>
      <c r="Y424">
        <v>0</v>
      </c>
      <c r="Z424">
        <v>407524.55</v>
      </c>
      <c r="AA424">
        <v>88723.42</v>
      </c>
      <c r="AB424">
        <v>371289.81</v>
      </c>
      <c r="AC424">
        <v>2182496.0099999998</v>
      </c>
      <c r="AD424">
        <v>1.1000000000000001</v>
      </c>
      <c r="AE424">
        <v>1.19</v>
      </c>
      <c r="AF424">
        <v>0.83</v>
      </c>
      <c r="AG424">
        <v>1.71</v>
      </c>
      <c r="AH424">
        <v>118972.8</v>
      </c>
      <c r="AI424">
        <v>21052.799999999999</v>
      </c>
      <c r="AJ424">
        <v>58262.400000000001</v>
      </c>
      <c r="AK424">
        <v>1958400</v>
      </c>
      <c r="AL424">
        <v>407524.55</v>
      </c>
      <c r="AM424">
        <v>88723.42</v>
      </c>
      <c r="AN424">
        <v>371289.81</v>
      </c>
      <c r="AO424">
        <v>2182496.0099999998</v>
      </c>
      <c r="AP424">
        <v>518243.21</v>
      </c>
      <c r="AQ424">
        <v>128466.71</v>
      </c>
      <c r="AR424">
        <v>328685.93</v>
      </c>
      <c r="AS424">
        <v>-940169.7</v>
      </c>
      <c r="AT424">
        <v>31.751439999999999</v>
      </c>
      <c r="AU424">
        <v>30.830648239999999</v>
      </c>
      <c r="AV424">
        <v>25938595.130518001</v>
      </c>
      <c r="AW424">
        <v>285684892.69999999</v>
      </c>
      <c r="AX424">
        <v>11.0138922814627</v>
      </c>
      <c r="AY424">
        <v>950479.43839999998</v>
      </c>
      <c r="AZ424">
        <v>1.0441288363996299</v>
      </c>
      <c r="BA424">
        <v>1079242.6829268199</v>
      </c>
      <c r="BB424">
        <v>1.1855789417329501</v>
      </c>
      <c r="BC424">
        <v>23.866334230099699</v>
      </c>
    </row>
    <row r="425" spans="1:55" x14ac:dyDescent="0.2">
      <c r="A425" t="s">
        <v>885</v>
      </c>
      <c r="B425" t="s">
        <v>886</v>
      </c>
      <c r="C425">
        <v>470</v>
      </c>
      <c r="D425">
        <v>100</v>
      </c>
      <c r="E425">
        <v>30</v>
      </c>
      <c r="F425">
        <v>0</v>
      </c>
      <c r="G425">
        <v>75</v>
      </c>
      <c r="H425">
        <v>130</v>
      </c>
      <c r="I425">
        <v>805</v>
      </c>
      <c r="J425">
        <v>14707.86</v>
      </c>
      <c r="K425">
        <v>191889.02</v>
      </c>
      <c r="L425">
        <v>134322.31</v>
      </c>
      <c r="M425">
        <v>30799.119999999999</v>
      </c>
      <c r="N425">
        <v>91184.85</v>
      </c>
      <c r="O425">
        <v>244963.8</v>
      </c>
      <c r="P425">
        <v>1356000</v>
      </c>
      <c r="Q425">
        <v>17262.13</v>
      </c>
      <c r="R425">
        <v>919.75</v>
      </c>
      <c r="S425">
        <v>21618.12</v>
      </c>
      <c r="T425">
        <v>86889.48</v>
      </c>
      <c r="U425">
        <v>73</v>
      </c>
      <c r="V425">
        <v>0</v>
      </c>
      <c r="W425">
        <v>0</v>
      </c>
      <c r="X425">
        <v>0</v>
      </c>
      <c r="Y425">
        <v>0</v>
      </c>
      <c r="Z425">
        <v>17262.13</v>
      </c>
      <c r="AA425">
        <v>919.75</v>
      </c>
      <c r="AB425">
        <v>21618.12</v>
      </c>
      <c r="AC425">
        <v>86889.48</v>
      </c>
      <c r="AD425">
        <v>0.84</v>
      </c>
      <c r="AE425">
        <v>1.48</v>
      </c>
      <c r="AF425">
        <v>0.67</v>
      </c>
      <c r="AG425">
        <v>0.64</v>
      </c>
      <c r="AH425">
        <v>72139.199999999997</v>
      </c>
      <c r="AI425">
        <v>44786.42</v>
      </c>
      <c r="AJ425">
        <v>70335.72</v>
      </c>
      <c r="AK425">
        <v>0</v>
      </c>
      <c r="AL425">
        <v>17262.13</v>
      </c>
      <c r="AM425">
        <v>919.75</v>
      </c>
      <c r="AN425">
        <v>21618.12</v>
      </c>
      <c r="AO425">
        <v>86889.48</v>
      </c>
      <c r="AP425">
        <v>62183.11</v>
      </c>
      <c r="AQ425">
        <v>-13987.3</v>
      </c>
      <c r="AR425">
        <v>20849.13</v>
      </c>
      <c r="AS425">
        <v>244963.8</v>
      </c>
      <c r="AT425">
        <v>33.112215999999997</v>
      </c>
      <c r="AU425">
        <v>32.151961735999997</v>
      </c>
      <c r="AV425">
        <v>6689215.6391747901</v>
      </c>
      <c r="AW425">
        <v>5133015.96</v>
      </c>
      <c r="AX425">
        <v>0.76735692746081396</v>
      </c>
      <c r="AY425">
        <v>190025.55119999999</v>
      </c>
      <c r="AZ425">
        <v>0.99028882006901697</v>
      </c>
      <c r="BA425">
        <v>221181.097560975</v>
      </c>
      <c r="BB425">
        <v>1.1526511395022701</v>
      </c>
      <c r="BC425">
        <v>22.421351924149398</v>
      </c>
    </row>
    <row r="426" spans="1:55" x14ac:dyDescent="0.2">
      <c r="A426" t="s">
        <v>887</v>
      </c>
      <c r="B426" t="s">
        <v>888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1</v>
      </c>
      <c r="L426">
        <v>0.7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0.99</v>
      </c>
      <c r="AF426">
        <v>1</v>
      </c>
      <c r="AG426">
        <v>0.85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0.7</v>
      </c>
      <c r="AQ426">
        <v>1</v>
      </c>
      <c r="AR426">
        <v>1</v>
      </c>
      <c r="AS426">
        <v>0</v>
      </c>
      <c r="AT426">
        <v>0.453592</v>
      </c>
      <c r="AU426">
        <v>0.44043783199999997</v>
      </c>
      <c r="AV426">
        <v>0</v>
      </c>
      <c r="AW426">
        <v>0</v>
      </c>
    </row>
    <row r="427" spans="1:55" x14ac:dyDescent="0.2">
      <c r="A427" t="s">
        <v>889</v>
      </c>
      <c r="B427" t="s">
        <v>890</v>
      </c>
      <c r="C427">
        <v>1450</v>
      </c>
      <c r="D427">
        <v>240</v>
      </c>
      <c r="E427">
        <v>450</v>
      </c>
      <c r="F427">
        <v>500</v>
      </c>
      <c r="G427">
        <v>300</v>
      </c>
      <c r="H427">
        <v>180</v>
      </c>
      <c r="I427">
        <v>3120</v>
      </c>
      <c r="J427">
        <v>51706.84</v>
      </c>
      <c r="K427">
        <v>646550.68000000005</v>
      </c>
      <c r="L427">
        <v>452585.48</v>
      </c>
      <c r="M427">
        <v>105388.89</v>
      </c>
      <c r="N427">
        <v>278449.17</v>
      </c>
      <c r="O427">
        <v>739942.2</v>
      </c>
      <c r="P427">
        <v>9936000</v>
      </c>
      <c r="Q427">
        <v>39352.17</v>
      </c>
      <c r="R427">
        <v>7162.05</v>
      </c>
      <c r="S427">
        <v>19119.45</v>
      </c>
      <c r="T427">
        <v>426203.85</v>
      </c>
      <c r="U427">
        <v>70</v>
      </c>
      <c r="V427">
        <v>181091.74</v>
      </c>
      <c r="W427">
        <v>145604.78</v>
      </c>
      <c r="X427">
        <v>94184.17</v>
      </c>
      <c r="Y427">
        <v>0</v>
      </c>
      <c r="Z427">
        <v>39352.17</v>
      </c>
      <c r="AA427">
        <v>7162.05</v>
      </c>
      <c r="AB427">
        <v>19119.45</v>
      </c>
      <c r="AC427">
        <v>426203.85</v>
      </c>
      <c r="AD427">
        <v>0.55000000000000004</v>
      </c>
      <c r="AE427">
        <v>1.39</v>
      </c>
      <c r="AF427">
        <v>0.14000000000000001</v>
      </c>
      <c r="AG427">
        <v>0.74</v>
      </c>
      <c r="AH427">
        <v>0</v>
      </c>
      <c r="AI427">
        <v>0</v>
      </c>
      <c r="AJ427">
        <v>0</v>
      </c>
      <c r="AK427">
        <v>0</v>
      </c>
      <c r="AL427">
        <v>220443.90999999901</v>
      </c>
      <c r="AM427">
        <v>152766.82999999999</v>
      </c>
      <c r="AN427">
        <v>113303.62</v>
      </c>
      <c r="AO427">
        <v>426203.85</v>
      </c>
      <c r="AP427">
        <v>271493.74</v>
      </c>
      <c r="AQ427">
        <v>-40215.889999999898</v>
      </c>
      <c r="AR427">
        <v>184265</v>
      </c>
      <c r="AS427">
        <v>739942.19999999902</v>
      </c>
      <c r="AT427">
        <v>31.751439999999999</v>
      </c>
      <c r="AU427">
        <v>30.830648239999999</v>
      </c>
      <c r="AV427">
        <v>19017885.366843998</v>
      </c>
      <c r="AW427">
        <v>37611833.759999998</v>
      </c>
      <c r="AX427">
        <v>1.9777085114611499</v>
      </c>
      <c r="AY427">
        <v>668052.37279999896</v>
      </c>
      <c r="AZ427">
        <v>1.03325600523689</v>
      </c>
      <c r="BA427">
        <v>765075.60975609696</v>
      </c>
      <c r="BB427">
        <v>1.18331885407049</v>
      </c>
      <c r="BC427">
        <v>23.363240467269101</v>
      </c>
    </row>
    <row r="428" spans="1:55" x14ac:dyDescent="0.2">
      <c r="A428" t="s">
        <v>891</v>
      </c>
      <c r="B428" t="s">
        <v>892</v>
      </c>
      <c r="C428">
        <v>2110</v>
      </c>
      <c r="D428">
        <v>235</v>
      </c>
      <c r="E428">
        <v>950</v>
      </c>
      <c r="F428">
        <v>770</v>
      </c>
      <c r="G428">
        <v>350</v>
      </c>
      <c r="H428">
        <v>360</v>
      </c>
      <c r="I428">
        <v>4775</v>
      </c>
      <c r="J428">
        <v>78714.69</v>
      </c>
      <c r="K428">
        <v>975377.45</v>
      </c>
      <c r="L428">
        <v>682764.22</v>
      </c>
      <c r="M428">
        <v>160256.31</v>
      </c>
      <c r="N428">
        <v>414922.03</v>
      </c>
      <c r="O428">
        <v>1050401.7</v>
      </c>
      <c r="P428">
        <v>75960000</v>
      </c>
      <c r="Q428">
        <v>202309.35</v>
      </c>
      <c r="R428">
        <v>19333.95</v>
      </c>
      <c r="S428">
        <v>266042.34000000003</v>
      </c>
      <c r="T428">
        <v>1493504.98</v>
      </c>
      <c r="U428">
        <v>77</v>
      </c>
      <c r="V428">
        <v>91574.56</v>
      </c>
      <c r="W428">
        <v>23411.77</v>
      </c>
      <c r="X428">
        <v>71685.710000000006</v>
      </c>
      <c r="Y428">
        <v>546161.81999999995</v>
      </c>
      <c r="Z428">
        <v>202309.35</v>
      </c>
      <c r="AA428">
        <v>19333.95</v>
      </c>
      <c r="AB428">
        <v>266042.34000000003</v>
      </c>
      <c r="AC428">
        <v>1493504.98</v>
      </c>
      <c r="AD428">
        <v>0.97</v>
      </c>
      <c r="AE428">
        <v>0.69</v>
      </c>
      <c r="AF428">
        <v>0.63</v>
      </c>
      <c r="AG428">
        <v>3.67</v>
      </c>
      <c r="AH428">
        <v>177123.6</v>
      </c>
      <c r="AI428">
        <v>77466.2</v>
      </c>
      <c r="AJ428">
        <v>149744.84</v>
      </c>
      <c r="AK428">
        <v>0</v>
      </c>
      <c r="AL428">
        <v>293883.90999999997</v>
      </c>
      <c r="AM428">
        <v>42745.72</v>
      </c>
      <c r="AN428">
        <v>337728.05</v>
      </c>
      <c r="AO428">
        <v>2039666.79999999</v>
      </c>
      <c r="AP428">
        <v>414066.05999999901</v>
      </c>
      <c r="AQ428">
        <v>59378.34</v>
      </c>
      <c r="AR428">
        <v>193491.48</v>
      </c>
      <c r="AS428">
        <v>504239.87999999902</v>
      </c>
      <c r="AT428">
        <v>34.926583999999998</v>
      </c>
      <c r="AU428">
        <v>33.913713064</v>
      </c>
      <c r="AV428">
        <v>29027594.854304198</v>
      </c>
      <c r="AW428">
        <v>287539743.60000002</v>
      </c>
      <c r="AX428">
        <v>9.9057378002974197</v>
      </c>
      <c r="AY428">
        <v>1016993.7948</v>
      </c>
      <c r="AZ428">
        <v>1.0426669129986501</v>
      </c>
      <c r="BA428">
        <v>1117211.58536585</v>
      </c>
      <c r="BB428">
        <v>1.14541461396903</v>
      </c>
      <c r="BC428">
        <v>24.3395474188317</v>
      </c>
    </row>
    <row r="429" spans="1:55" x14ac:dyDescent="0.2">
      <c r="A429" t="s">
        <v>893</v>
      </c>
      <c r="B429" t="s">
        <v>894</v>
      </c>
      <c r="C429">
        <v>276</v>
      </c>
      <c r="D429">
        <v>32</v>
      </c>
      <c r="E429">
        <v>44</v>
      </c>
      <c r="F429">
        <v>70</v>
      </c>
      <c r="G429">
        <v>22</v>
      </c>
      <c r="H429">
        <v>0</v>
      </c>
      <c r="I429">
        <v>444</v>
      </c>
      <c r="J429">
        <v>8718.27</v>
      </c>
      <c r="K429">
        <v>110650.03</v>
      </c>
      <c r="L429">
        <v>77455.02</v>
      </c>
      <c r="M429">
        <v>18402.18</v>
      </c>
      <c r="N429">
        <v>53001.36</v>
      </c>
      <c r="O429">
        <v>137689.20000000001</v>
      </c>
      <c r="P429">
        <v>5868000</v>
      </c>
      <c r="Q429">
        <v>23480.23</v>
      </c>
      <c r="R429">
        <v>1571.32</v>
      </c>
      <c r="S429">
        <v>33093.22</v>
      </c>
      <c r="T429">
        <v>394586.65</v>
      </c>
      <c r="U429">
        <v>70</v>
      </c>
      <c r="V429">
        <v>10405.540000000001</v>
      </c>
      <c r="W429">
        <v>1719.29</v>
      </c>
      <c r="X429">
        <v>7959.62</v>
      </c>
      <c r="Y429">
        <v>177565.68</v>
      </c>
      <c r="Z429">
        <v>23480.23</v>
      </c>
      <c r="AA429">
        <v>1571.32</v>
      </c>
      <c r="AB429">
        <v>33093.22</v>
      </c>
      <c r="AC429">
        <v>394586.65</v>
      </c>
      <c r="AD429">
        <v>1.1499999999999999</v>
      </c>
      <c r="AE429">
        <v>0.81</v>
      </c>
      <c r="AF429">
        <v>1.65</v>
      </c>
      <c r="AG429">
        <v>6.62</v>
      </c>
      <c r="AH429">
        <v>0</v>
      </c>
      <c r="AI429">
        <v>0</v>
      </c>
      <c r="AJ429">
        <v>0</v>
      </c>
      <c r="AK429">
        <v>0</v>
      </c>
      <c r="AL429">
        <v>33885.769999999997</v>
      </c>
      <c r="AM429">
        <v>3290.6099999999901</v>
      </c>
      <c r="AN429">
        <v>41052.839999999997</v>
      </c>
      <c r="AO429">
        <v>572152.32999999996</v>
      </c>
      <c r="AP429">
        <v>67049.48</v>
      </c>
      <c r="AQ429">
        <v>16682.89</v>
      </c>
      <c r="AR429">
        <v>45041.74</v>
      </c>
      <c r="AS429">
        <v>-39876.479999999901</v>
      </c>
      <c r="AT429">
        <v>31.751439999999999</v>
      </c>
      <c r="AU429">
        <v>30.830648239999999</v>
      </c>
      <c r="AV429">
        <v>3465981.4751407998</v>
      </c>
      <c r="AW429">
        <v>22212785.879999999</v>
      </c>
      <c r="AX429">
        <v>6.4088010969815201</v>
      </c>
      <c r="AY429">
        <v>112640.0484</v>
      </c>
      <c r="AZ429">
        <v>1.0179847976543701</v>
      </c>
      <c r="BA429">
        <v>128622.43902439</v>
      </c>
      <c r="BB429">
        <v>1.16242570403632</v>
      </c>
      <c r="BC429">
        <v>24.369312107990101</v>
      </c>
    </row>
    <row r="430" spans="1:55" x14ac:dyDescent="0.2">
      <c r="A430" t="s">
        <v>895</v>
      </c>
      <c r="B430" t="s">
        <v>896</v>
      </c>
      <c r="C430">
        <v>382</v>
      </c>
      <c r="D430">
        <v>23</v>
      </c>
      <c r="E430">
        <v>78</v>
      </c>
      <c r="F430">
        <v>0</v>
      </c>
      <c r="G430">
        <v>0</v>
      </c>
      <c r="H430">
        <v>0</v>
      </c>
      <c r="I430">
        <v>483</v>
      </c>
      <c r="J430">
        <v>11537.95</v>
      </c>
      <c r="K430">
        <v>147738.68</v>
      </c>
      <c r="L430">
        <v>103417.08</v>
      </c>
      <c r="M430">
        <v>24965.23</v>
      </c>
      <c r="N430">
        <v>76628.55</v>
      </c>
      <c r="O430">
        <v>185660.82</v>
      </c>
      <c r="P430">
        <v>5460000</v>
      </c>
      <c r="Q430">
        <v>35286.18</v>
      </c>
      <c r="R430">
        <v>5495.93</v>
      </c>
      <c r="S430">
        <v>46061.85</v>
      </c>
      <c r="T430">
        <v>247165.55</v>
      </c>
      <c r="U430">
        <v>83</v>
      </c>
      <c r="V430">
        <v>0</v>
      </c>
      <c r="W430">
        <v>0</v>
      </c>
      <c r="X430">
        <v>0</v>
      </c>
      <c r="Y430">
        <v>0</v>
      </c>
      <c r="Z430">
        <v>13538.01</v>
      </c>
      <c r="AA430">
        <v>2838.07</v>
      </c>
      <c r="AB430">
        <v>22238.59</v>
      </c>
      <c r="AC430">
        <v>106957.03</v>
      </c>
      <c r="AD430">
        <v>1.35</v>
      </c>
      <c r="AE430">
        <v>1.1200000000000001</v>
      </c>
      <c r="AF430">
        <v>1.42</v>
      </c>
      <c r="AG430">
        <v>1.88</v>
      </c>
      <c r="AH430">
        <v>21748.17</v>
      </c>
      <c r="AI430">
        <v>2657.87</v>
      </c>
      <c r="AJ430">
        <v>23823.26</v>
      </c>
      <c r="AK430">
        <v>140208.51999999999</v>
      </c>
      <c r="AL430">
        <v>13538.01</v>
      </c>
      <c r="AM430">
        <v>2838.07</v>
      </c>
      <c r="AN430">
        <v>22238.59</v>
      </c>
      <c r="AO430">
        <v>106957.03</v>
      </c>
      <c r="AP430">
        <v>103417.08</v>
      </c>
      <c r="AQ430">
        <v>24965.22</v>
      </c>
      <c r="AR430">
        <v>76628.55</v>
      </c>
      <c r="AS430">
        <v>185660.81999999899</v>
      </c>
      <c r="AT430">
        <v>37.648136000000001</v>
      </c>
      <c r="AU430">
        <v>36.556340056000003</v>
      </c>
      <c r="AV430">
        <v>5403940.9687782004</v>
      </c>
      <c r="AW430">
        <v>20668338.600000001</v>
      </c>
      <c r="AX430">
        <v>3.8246788259555999</v>
      </c>
      <c r="AY430">
        <v>149070.31400000001</v>
      </c>
      <c r="AZ430">
        <v>1.00901344184204</v>
      </c>
      <c r="BA430">
        <v>158240.85365853601</v>
      </c>
      <c r="BB430">
        <v>1.0710861479101901</v>
      </c>
      <c r="BC430">
        <v>26.6135555555555</v>
      </c>
    </row>
    <row r="431" spans="1:55" x14ac:dyDescent="0.2">
      <c r="A431" t="s">
        <v>897</v>
      </c>
      <c r="B431" t="s">
        <v>898</v>
      </c>
      <c r="C431">
        <v>250</v>
      </c>
      <c r="D431">
        <v>50</v>
      </c>
      <c r="E431">
        <v>160</v>
      </c>
      <c r="F431">
        <v>150</v>
      </c>
      <c r="G431">
        <v>60</v>
      </c>
      <c r="H431">
        <v>0</v>
      </c>
      <c r="I431">
        <v>670</v>
      </c>
      <c r="J431">
        <v>10489.27</v>
      </c>
      <c r="K431">
        <v>126183.4</v>
      </c>
      <c r="L431">
        <v>88328.38</v>
      </c>
      <c r="M431">
        <v>20721.52</v>
      </c>
      <c r="N431">
        <v>48173.18</v>
      </c>
      <c r="O431">
        <v>129564</v>
      </c>
      <c r="P431">
        <v>11970000</v>
      </c>
      <c r="Q431">
        <v>33544.9</v>
      </c>
      <c r="R431">
        <v>4280.83</v>
      </c>
      <c r="S431">
        <v>88436.51</v>
      </c>
      <c r="T431">
        <v>706234.85</v>
      </c>
      <c r="U431">
        <v>71</v>
      </c>
      <c r="V431">
        <v>8365.6299999999992</v>
      </c>
      <c r="W431">
        <v>2408.29</v>
      </c>
      <c r="X431">
        <v>11819.62</v>
      </c>
      <c r="Y431">
        <v>130554.56</v>
      </c>
      <c r="Z431">
        <v>33544.9</v>
      </c>
      <c r="AA431">
        <v>4280.83</v>
      </c>
      <c r="AB431">
        <v>88436.51</v>
      </c>
      <c r="AC431">
        <v>706234.85</v>
      </c>
      <c r="AD431">
        <v>1.34</v>
      </c>
      <c r="AE431">
        <v>0.77</v>
      </c>
      <c r="AF431">
        <v>1.87</v>
      </c>
      <c r="AG431">
        <v>4.42</v>
      </c>
      <c r="AH431">
        <v>0</v>
      </c>
      <c r="AI431">
        <v>0</v>
      </c>
      <c r="AJ431">
        <v>0</v>
      </c>
      <c r="AK431">
        <v>0</v>
      </c>
      <c r="AL431">
        <v>41910.53</v>
      </c>
      <c r="AM431">
        <v>6689.12</v>
      </c>
      <c r="AN431">
        <v>100256.129999999</v>
      </c>
      <c r="AO431">
        <v>836789.40999999898</v>
      </c>
      <c r="AP431">
        <v>79962.75</v>
      </c>
      <c r="AQ431">
        <v>18313.23</v>
      </c>
      <c r="AR431">
        <v>36353.56</v>
      </c>
      <c r="AS431">
        <v>-990.55999999993901</v>
      </c>
      <c r="AT431">
        <v>32.205032000000003</v>
      </c>
      <c r="AU431">
        <v>31.271086071999999</v>
      </c>
      <c r="AV431">
        <v>3424183.9248839999</v>
      </c>
      <c r="AW431">
        <v>45311357.700000003</v>
      </c>
      <c r="AX431">
        <v>13.232746456963399</v>
      </c>
      <c r="AY431">
        <v>135521.36840000001</v>
      </c>
      <c r="AZ431">
        <v>1.07400314462916</v>
      </c>
      <c r="BA431">
        <v>153567.07317073099</v>
      </c>
      <c r="BB431">
        <v>1.21701486226184</v>
      </c>
      <c r="BC431">
        <v>24.0930011204481</v>
      </c>
    </row>
    <row r="432" spans="1:55" x14ac:dyDescent="0.2">
      <c r="A432" t="s">
        <v>899</v>
      </c>
      <c r="B432" t="s">
        <v>900</v>
      </c>
      <c r="C432">
        <v>0</v>
      </c>
      <c r="D432">
        <v>0</v>
      </c>
      <c r="E432">
        <v>287</v>
      </c>
      <c r="F432">
        <v>168</v>
      </c>
      <c r="G432">
        <v>0</v>
      </c>
      <c r="H432">
        <v>0</v>
      </c>
      <c r="I432">
        <v>455</v>
      </c>
      <c r="J432">
        <v>4556</v>
      </c>
      <c r="K432">
        <v>43297.8</v>
      </c>
      <c r="L432">
        <v>30308.46</v>
      </c>
      <c r="M432">
        <v>7327.32</v>
      </c>
      <c r="N432">
        <v>1</v>
      </c>
      <c r="O432">
        <v>0</v>
      </c>
      <c r="P432">
        <v>16837500</v>
      </c>
      <c r="Q432">
        <v>3123.72</v>
      </c>
      <c r="R432">
        <v>939.69</v>
      </c>
      <c r="S432">
        <v>19262.43</v>
      </c>
      <c r="T432">
        <v>142524.26</v>
      </c>
      <c r="U432">
        <v>1</v>
      </c>
      <c r="V432">
        <v>60994.84</v>
      </c>
      <c r="W432">
        <v>9107.83</v>
      </c>
      <c r="X432">
        <v>17557.09</v>
      </c>
      <c r="Y432">
        <v>1242040.8</v>
      </c>
      <c r="Z432">
        <v>3123.72</v>
      </c>
      <c r="AA432">
        <v>939.69</v>
      </c>
      <c r="AB432">
        <v>19262.43</v>
      </c>
      <c r="AC432">
        <v>142524.26</v>
      </c>
      <c r="AD432">
        <v>1.1499999999999999</v>
      </c>
      <c r="AE432">
        <v>0.84</v>
      </c>
      <c r="AF432">
        <v>0.51</v>
      </c>
      <c r="AG432">
        <v>5.58</v>
      </c>
      <c r="AH432">
        <v>0</v>
      </c>
      <c r="AI432">
        <v>0</v>
      </c>
      <c r="AJ432">
        <v>0</v>
      </c>
      <c r="AK432">
        <v>0</v>
      </c>
      <c r="AL432">
        <v>64118.559999999998</v>
      </c>
      <c r="AM432">
        <v>10047.52</v>
      </c>
      <c r="AN432">
        <v>36819.519999999997</v>
      </c>
      <c r="AO432">
        <v>1384565.06</v>
      </c>
      <c r="AP432">
        <v>-30686.379999999899</v>
      </c>
      <c r="AQ432">
        <v>-1780.51</v>
      </c>
      <c r="AR432">
        <v>-17556.09</v>
      </c>
      <c r="AS432">
        <v>-1242040.8</v>
      </c>
      <c r="AT432">
        <v>0.453592</v>
      </c>
      <c r="AU432">
        <v>0.44043783199999997</v>
      </c>
      <c r="AV432">
        <v>0</v>
      </c>
      <c r="AW432">
        <v>63736840.875</v>
      </c>
      <c r="AY432">
        <v>58863.519999999997</v>
      </c>
      <c r="AZ432">
        <v>1.3595037161241399</v>
      </c>
      <c r="BA432">
        <v>60759.146341463398</v>
      </c>
      <c r="BB432">
        <v>1.40328483991019</v>
      </c>
      <c r="BC432">
        <v>27.369377289377201</v>
      </c>
    </row>
    <row r="433" spans="1:55" x14ac:dyDescent="0.2">
      <c r="A433" t="s">
        <v>901</v>
      </c>
      <c r="B433" t="s">
        <v>902</v>
      </c>
      <c r="C433">
        <v>2400</v>
      </c>
      <c r="D433">
        <v>350</v>
      </c>
      <c r="E433">
        <v>140</v>
      </c>
      <c r="F433">
        <v>0</v>
      </c>
      <c r="G433">
        <v>0</v>
      </c>
      <c r="H433">
        <v>0</v>
      </c>
      <c r="I433">
        <v>2890</v>
      </c>
      <c r="J433">
        <v>64995.22</v>
      </c>
      <c r="K433">
        <v>847561.94</v>
      </c>
      <c r="L433">
        <v>593293.36</v>
      </c>
      <c r="M433">
        <v>140559.26</v>
      </c>
      <c r="N433">
        <v>445070.18</v>
      </c>
      <c r="O433">
        <v>1213839</v>
      </c>
      <c r="P433">
        <v>44824074</v>
      </c>
      <c r="Q433">
        <v>314638.51</v>
      </c>
      <c r="R433">
        <v>27202.87</v>
      </c>
      <c r="S433">
        <v>341629.99</v>
      </c>
      <c r="T433">
        <v>1972156.69</v>
      </c>
      <c r="U433">
        <v>60</v>
      </c>
      <c r="V433">
        <v>3209.47</v>
      </c>
      <c r="W433">
        <v>866.36</v>
      </c>
      <c r="X433">
        <v>6044.83</v>
      </c>
      <c r="Y433">
        <v>0</v>
      </c>
      <c r="Z433">
        <v>144193.97</v>
      </c>
      <c r="AA433">
        <v>13554.26</v>
      </c>
      <c r="AB433">
        <v>186090.08</v>
      </c>
      <c r="AC433">
        <v>1149869.6000000001</v>
      </c>
      <c r="AD433">
        <v>1.08</v>
      </c>
      <c r="AE433">
        <v>0.6</v>
      </c>
      <c r="AF433">
        <v>0.99</v>
      </c>
      <c r="AG433">
        <v>2.04</v>
      </c>
      <c r="AH433">
        <v>170444.54</v>
      </c>
      <c r="AI433">
        <v>13648.61</v>
      </c>
      <c r="AJ433">
        <v>155539.91</v>
      </c>
      <c r="AK433">
        <v>822287.09</v>
      </c>
      <c r="AL433">
        <v>147403.44</v>
      </c>
      <c r="AM433">
        <v>14420.62</v>
      </c>
      <c r="AN433">
        <v>192134.90999999901</v>
      </c>
      <c r="AO433">
        <v>1149869.6000000001</v>
      </c>
      <c r="AP433">
        <v>590083.88999999897</v>
      </c>
      <c r="AQ433">
        <v>139692.9</v>
      </c>
      <c r="AR433">
        <v>439025.35</v>
      </c>
      <c r="AS433">
        <v>1213839</v>
      </c>
      <c r="AT433">
        <v>27.215519999999898</v>
      </c>
      <c r="AU433">
        <v>26.4262699199999</v>
      </c>
      <c r="AV433">
        <v>26525368.432199899</v>
      </c>
      <c r="AW433">
        <v>169677497.96033999</v>
      </c>
      <c r="AX433">
        <v>6.3968007982261597</v>
      </c>
      <c r="AY433">
        <v>839738.24239999999</v>
      </c>
      <c r="AZ433">
        <v>0.99076917304710499</v>
      </c>
      <c r="BA433">
        <v>1022445.12195121</v>
      </c>
      <c r="BB433">
        <v>1.2063367568761001</v>
      </c>
      <c r="BC433">
        <v>23.2024729647366</v>
      </c>
    </row>
    <row r="434" spans="1:55" x14ac:dyDescent="0.2">
      <c r="A434" t="s">
        <v>903</v>
      </c>
      <c r="B434" t="s">
        <v>904</v>
      </c>
      <c r="C434">
        <v>520</v>
      </c>
      <c r="D434">
        <v>60</v>
      </c>
      <c r="E434">
        <v>50</v>
      </c>
      <c r="F434">
        <v>125</v>
      </c>
      <c r="G434">
        <v>50</v>
      </c>
      <c r="H434">
        <v>0</v>
      </c>
      <c r="I434">
        <v>805</v>
      </c>
      <c r="J434">
        <v>15492.09</v>
      </c>
      <c r="K434">
        <v>197069.4</v>
      </c>
      <c r="L434">
        <v>137948.57999999999</v>
      </c>
      <c r="M434">
        <v>32582.92</v>
      </c>
      <c r="N434">
        <v>96431.87</v>
      </c>
      <c r="O434">
        <v>259347.6</v>
      </c>
      <c r="P434">
        <v>4377000</v>
      </c>
      <c r="Q434">
        <v>18398.150000000001</v>
      </c>
      <c r="R434">
        <v>1266.47</v>
      </c>
      <c r="S434">
        <v>33140.31</v>
      </c>
      <c r="T434">
        <v>267959.12</v>
      </c>
      <c r="U434">
        <v>60</v>
      </c>
      <c r="V434">
        <v>0</v>
      </c>
      <c r="W434">
        <v>0</v>
      </c>
      <c r="X434">
        <v>0</v>
      </c>
      <c r="Y434">
        <v>0</v>
      </c>
      <c r="Z434">
        <v>18398.150000000001</v>
      </c>
      <c r="AA434">
        <v>1266.47</v>
      </c>
      <c r="AB434">
        <v>33140.31</v>
      </c>
      <c r="AC434">
        <v>267959.12</v>
      </c>
      <c r="AD434">
        <v>1.2</v>
      </c>
      <c r="AE434">
        <v>0.32</v>
      </c>
      <c r="AF434">
        <v>0.63</v>
      </c>
      <c r="AG434">
        <v>2.14</v>
      </c>
      <c r="AH434">
        <v>0</v>
      </c>
      <c r="AI434">
        <v>0</v>
      </c>
      <c r="AJ434">
        <v>0</v>
      </c>
      <c r="AK434">
        <v>0</v>
      </c>
      <c r="AL434">
        <v>18398.150000000001</v>
      </c>
      <c r="AM434">
        <v>1266.47</v>
      </c>
      <c r="AN434">
        <v>33140.31</v>
      </c>
      <c r="AO434">
        <v>267959.12</v>
      </c>
      <c r="AP434">
        <v>137948.57999999999</v>
      </c>
      <c r="AQ434">
        <v>32582.92</v>
      </c>
      <c r="AR434">
        <v>96431.87</v>
      </c>
      <c r="AS434">
        <v>259347.59999999899</v>
      </c>
      <c r="AT434">
        <v>27.215519999999898</v>
      </c>
      <c r="AU434">
        <v>26.4262699199999</v>
      </c>
      <c r="AV434">
        <v>5594441.3420639904</v>
      </c>
      <c r="AW434">
        <v>16568739.57</v>
      </c>
      <c r="AX434">
        <v>2.9616432735510898</v>
      </c>
      <c r="AY434">
        <v>200157.8028</v>
      </c>
      <c r="AZ434">
        <v>1.01567165069767</v>
      </c>
      <c r="BA434">
        <v>237294.512195121</v>
      </c>
      <c r="BB434">
        <v>1.2041164797534301</v>
      </c>
      <c r="BC434">
        <v>23.390745350764099</v>
      </c>
    </row>
    <row r="435" spans="1:55" x14ac:dyDescent="0.2">
      <c r="A435" t="s">
        <v>905</v>
      </c>
      <c r="B435" t="s">
        <v>906</v>
      </c>
      <c r="C435">
        <v>608</v>
      </c>
      <c r="D435">
        <v>29</v>
      </c>
      <c r="E435">
        <v>123</v>
      </c>
      <c r="F435">
        <v>129</v>
      </c>
      <c r="G435">
        <v>73</v>
      </c>
      <c r="H435">
        <v>0</v>
      </c>
      <c r="I435">
        <v>962</v>
      </c>
      <c r="J435">
        <v>19394.03</v>
      </c>
      <c r="K435">
        <v>244981.66</v>
      </c>
      <c r="L435">
        <v>171487.16</v>
      </c>
      <c r="M435">
        <v>41014.85</v>
      </c>
      <c r="N435">
        <v>119961.02</v>
      </c>
      <c r="O435">
        <v>293747.94</v>
      </c>
      <c r="P435">
        <v>15731338</v>
      </c>
      <c r="Q435">
        <v>44478.8</v>
      </c>
      <c r="R435">
        <v>6961.35</v>
      </c>
      <c r="S435">
        <v>80205.899999999994</v>
      </c>
      <c r="T435">
        <v>453801.57</v>
      </c>
      <c r="U435">
        <v>78</v>
      </c>
      <c r="V435">
        <v>0</v>
      </c>
      <c r="W435">
        <v>0</v>
      </c>
      <c r="X435">
        <v>0</v>
      </c>
      <c r="Y435">
        <v>0</v>
      </c>
      <c r="Z435">
        <v>44478.8</v>
      </c>
      <c r="AA435">
        <v>6961.35</v>
      </c>
      <c r="AB435">
        <v>80205.899999999994</v>
      </c>
      <c r="AC435">
        <v>453801.57</v>
      </c>
      <c r="AD435">
        <v>1.23</v>
      </c>
      <c r="AE435">
        <v>0.88</v>
      </c>
      <c r="AF435">
        <v>1.65</v>
      </c>
      <c r="AG435">
        <v>2.54</v>
      </c>
      <c r="AH435">
        <v>82782.48</v>
      </c>
      <c r="AI435">
        <v>40934.400000000001</v>
      </c>
      <c r="AJ435">
        <v>108600.48</v>
      </c>
      <c r="AK435">
        <v>2068872</v>
      </c>
      <c r="AL435">
        <v>44478.8</v>
      </c>
      <c r="AM435">
        <v>6961.35</v>
      </c>
      <c r="AN435">
        <v>80205.899999999994</v>
      </c>
      <c r="AO435">
        <v>453801.57</v>
      </c>
      <c r="AP435">
        <v>88704.68</v>
      </c>
      <c r="AQ435">
        <v>80.449999999997004</v>
      </c>
      <c r="AR435">
        <v>11360.539999999901</v>
      </c>
      <c r="AS435">
        <v>-1775124.06</v>
      </c>
      <c r="AT435">
        <v>35.380175999999999</v>
      </c>
      <c r="AU435">
        <v>34.354150896</v>
      </c>
      <c r="AV435">
        <v>7987511.85407448</v>
      </c>
      <c r="AW435">
        <v>59549564.178580001</v>
      </c>
      <c r="AX435">
        <v>7.4553334338030899</v>
      </c>
      <c r="AY435">
        <v>250570.8676</v>
      </c>
      <c r="AZ435">
        <v>1.0228148000956401</v>
      </c>
      <c r="BA435">
        <v>269405.60975609702</v>
      </c>
      <c r="BB435">
        <v>1.0996970538778099</v>
      </c>
      <c r="BC435">
        <v>25.6567898167268</v>
      </c>
    </row>
    <row r="436" spans="1:55" x14ac:dyDescent="0.2">
      <c r="A436" t="s">
        <v>907</v>
      </c>
      <c r="B436" t="s">
        <v>908</v>
      </c>
      <c r="C436">
        <v>1244</v>
      </c>
      <c r="D436">
        <v>123</v>
      </c>
      <c r="E436">
        <v>0</v>
      </c>
      <c r="F436">
        <v>0</v>
      </c>
      <c r="G436">
        <v>0</v>
      </c>
      <c r="H436">
        <v>0</v>
      </c>
      <c r="I436">
        <v>1367</v>
      </c>
      <c r="J436">
        <v>35248.06</v>
      </c>
      <c r="K436">
        <v>460005.87</v>
      </c>
      <c r="L436">
        <v>322004.11</v>
      </c>
      <c r="M436">
        <v>77315.820000000007</v>
      </c>
      <c r="N436">
        <v>247085.66</v>
      </c>
      <c r="O436">
        <v>615703.5</v>
      </c>
      <c r="P436">
        <v>13981500</v>
      </c>
      <c r="Q436">
        <v>224253.28</v>
      </c>
      <c r="R436">
        <v>65728.33</v>
      </c>
      <c r="S436">
        <v>75036.63</v>
      </c>
      <c r="T436">
        <v>346508.18</v>
      </c>
      <c r="U436">
        <v>80</v>
      </c>
      <c r="V436">
        <v>0</v>
      </c>
      <c r="W436">
        <v>0</v>
      </c>
      <c r="X436">
        <v>0</v>
      </c>
      <c r="Y436">
        <v>0</v>
      </c>
      <c r="Z436">
        <v>51855.63</v>
      </c>
      <c r="AA436">
        <v>10587.66</v>
      </c>
      <c r="AB436">
        <v>40822.839999999997</v>
      </c>
      <c r="AC436">
        <v>210317.37</v>
      </c>
      <c r="AD436">
        <v>1.18</v>
      </c>
      <c r="AE436">
        <v>0.72</v>
      </c>
      <c r="AF436">
        <v>0.71</v>
      </c>
      <c r="AG436">
        <v>0.83</v>
      </c>
      <c r="AH436">
        <v>215825.62</v>
      </c>
      <c r="AI436">
        <v>68609.759999999995</v>
      </c>
      <c r="AJ436">
        <v>61923.49</v>
      </c>
      <c r="AK436">
        <v>204647.34</v>
      </c>
      <c r="AL436">
        <v>51855.63</v>
      </c>
      <c r="AM436">
        <v>10587.66</v>
      </c>
      <c r="AN436">
        <v>40822.839999999997</v>
      </c>
      <c r="AO436">
        <v>210317.37</v>
      </c>
      <c r="AP436">
        <v>278576.14</v>
      </c>
      <c r="AQ436">
        <v>63846.73</v>
      </c>
      <c r="AR436">
        <v>219375.96</v>
      </c>
      <c r="AS436">
        <v>547246.97</v>
      </c>
      <c r="AT436">
        <v>36.28736</v>
      </c>
      <c r="AU436">
        <v>35.235026560000001</v>
      </c>
      <c r="AV436">
        <v>17580692.677244801</v>
      </c>
      <c r="AW436">
        <v>52925709.914999999</v>
      </c>
      <c r="AX436">
        <v>3.0104450880654499</v>
      </c>
      <c r="AY436">
        <v>455404.93519999902</v>
      </c>
      <c r="AZ436">
        <v>0.98999809545908601</v>
      </c>
      <c r="BA436">
        <v>498955</v>
      </c>
      <c r="BB436">
        <v>1.0846709412642901</v>
      </c>
      <c r="BC436">
        <v>25.7849743964886</v>
      </c>
    </row>
    <row r="437" spans="1:55" x14ac:dyDescent="0.2">
      <c r="A437" t="s">
        <v>909</v>
      </c>
      <c r="B437" t="s">
        <v>910</v>
      </c>
      <c r="C437">
        <v>606</v>
      </c>
      <c r="D437">
        <v>80</v>
      </c>
      <c r="E437">
        <v>200</v>
      </c>
      <c r="F437">
        <v>200</v>
      </c>
      <c r="G437">
        <v>190</v>
      </c>
      <c r="H437">
        <v>0</v>
      </c>
      <c r="I437">
        <v>1276</v>
      </c>
      <c r="J437">
        <v>21384.61</v>
      </c>
      <c r="K437">
        <v>269034.05</v>
      </c>
      <c r="L437">
        <v>188323.84</v>
      </c>
      <c r="M437">
        <v>44078.51</v>
      </c>
      <c r="N437">
        <v>117570.25</v>
      </c>
      <c r="O437">
        <v>304563.24</v>
      </c>
      <c r="P437">
        <v>6440000</v>
      </c>
      <c r="Q437">
        <v>52871.199999999997</v>
      </c>
      <c r="R437">
        <v>8645.6</v>
      </c>
      <c r="S437">
        <v>71756.570000000007</v>
      </c>
      <c r="T437">
        <v>422661.73</v>
      </c>
      <c r="U437">
        <v>73</v>
      </c>
      <c r="V437">
        <v>0</v>
      </c>
      <c r="W437">
        <v>0</v>
      </c>
      <c r="X437">
        <v>0</v>
      </c>
      <c r="Y437">
        <v>0</v>
      </c>
      <c r="Z437">
        <v>30970.58</v>
      </c>
      <c r="AA437">
        <v>5157.72</v>
      </c>
      <c r="AB437">
        <v>42555.74</v>
      </c>
      <c r="AC437">
        <v>259421.02</v>
      </c>
      <c r="AD437">
        <v>1.1599999999999999</v>
      </c>
      <c r="AE437">
        <v>0.95</v>
      </c>
      <c r="AF437">
        <v>1.1599999999999999</v>
      </c>
      <c r="AG437">
        <v>2.4</v>
      </c>
      <c r="AH437">
        <v>70549.820000000007</v>
      </c>
      <c r="AI437">
        <v>18904.88</v>
      </c>
      <c r="AJ437">
        <v>66030.320000000007</v>
      </c>
      <c r="AK437">
        <v>711400.72</v>
      </c>
      <c r="AL437">
        <v>30970.58</v>
      </c>
      <c r="AM437">
        <v>5157.72</v>
      </c>
      <c r="AN437">
        <v>42555.74</v>
      </c>
      <c r="AO437">
        <v>259421.02</v>
      </c>
      <c r="AP437">
        <v>139674.639999999</v>
      </c>
      <c r="AQ437">
        <v>28661.51</v>
      </c>
      <c r="AR437">
        <v>80740.759999999995</v>
      </c>
      <c r="AS437">
        <v>-243596.77</v>
      </c>
      <c r="AT437">
        <v>33.112215999999997</v>
      </c>
      <c r="AU437">
        <v>32.151961735999997</v>
      </c>
      <c r="AV437">
        <v>8050529.69907704</v>
      </c>
      <c r="AW437">
        <v>24378040.399999999</v>
      </c>
      <c r="AX437">
        <v>3.02812874571406</v>
      </c>
      <c r="AY437">
        <v>276289.16119999997</v>
      </c>
      <c r="AZ437">
        <v>1.02696726009217</v>
      </c>
      <c r="BA437">
        <v>312261.95121951198</v>
      </c>
      <c r="BB437">
        <v>1.1606781789127101</v>
      </c>
      <c r="BC437">
        <v>23.711840382951099</v>
      </c>
    </row>
    <row r="438" spans="1:55" x14ac:dyDescent="0.2">
      <c r="A438" t="s">
        <v>911</v>
      </c>
      <c r="B438" t="s">
        <v>912</v>
      </c>
      <c r="C438">
        <v>0</v>
      </c>
      <c r="D438">
        <v>2</v>
      </c>
      <c r="E438">
        <v>0</v>
      </c>
      <c r="F438">
        <v>0</v>
      </c>
      <c r="G438">
        <v>0</v>
      </c>
      <c r="H438">
        <v>0</v>
      </c>
      <c r="I438">
        <v>2</v>
      </c>
      <c r="J438">
        <v>28.9</v>
      </c>
      <c r="K438">
        <v>366</v>
      </c>
      <c r="L438">
        <v>256.2</v>
      </c>
      <c r="M438">
        <v>48.31</v>
      </c>
      <c r="N438">
        <v>1</v>
      </c>
      <c r="O438">
        <v>461.16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1.28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256.2</v>
      </c>
      <c r="AQ438">
        <v>48.31</v>
      </c>
      <c r="AR438">
        <v>1</v>
      </c>
      <c r="AS438">
        <v>461.16</v>
      </c>
      <c r="AT438">
        <v>0.453592</v>
      </c>
      <c r="AU438">
        <v>0.44043783199999997</v>
      </c>
      <c r="AV438">
        <v>321.51961735999998</v>
      </c>
      <c r="AW438">
        <v>0</v>
      </c>
      <c r="AY438">
        <v>373.38799999999998</v>
      </c>
      <c r="AZ438">
        <v>1.02018579234972</v>
      </c>
      <c r="BA438">
        <v>730</v>
      </c>
      <c r="BB438">
        <v>1.9945355191256799</v>
      </c>
      <c r="BC438">
        <v>14.45</v>
      </c>
    </row>
    <row r="439" spans="1:55" x14ac:dyDescent="0.2">
      <c r="A439" t="s">
        <v>913</v>
      </c>
      <c r="B439" t="s">
        <v>914</v>
      </c>
      <c r="C439">
        <v>2060</v>
      </c>
      <c r="D439">
        <v>340</v>
      </c>
      <c r="E439">
        <v>580</v>
      </c>
      <c r="F439">
        <v>0</v>
      </c>
      <c r="G439">
        <v>300</v>
      </c>
      <c r="H439">
        <v>0</v>
      </c>
      <c r="I439">
        <v>3280</v>
      </c>
      <c r="J439">
        <v>66782.58</v>
      </c>
      <c r="K439">
        <v>850917.82</v>
      </c>
      <c r="L439">
        <v>595642.47</v>
      </c>
      <c r="M439">
        <v>140585.65</v>
      </c>
      <c r="N439">
        <v>406446.88</v>
      </c>
      <c r="O439">
        <v>1051005.6000000001</v>
      </c>
      <c r="P439">
        <v>33397900</v>
      </c>
      <c r="Q439">
        <v>167977.32</v>
      </c>
      <c r="R439">
        <v>20459.96</v>
      </c>
      <c r="S439">
        <v>251751.96</v>
      </c>
      <c r="T439">
        <v>1188741.75</v>
      </c>
      <c r="U439">
        <v>78</v>
      </c>
      <c r="V439">
        <v>190900.43</v>
      </c>
      <c r="W439">
        <v>47903.31</v>
      </c>
      <c r="X439">
        <v>261554.12</v>
      </c>
      <c r="Y439">
        <v>1530236.14</v>
      </c>
      <c r="Z439">
        <v>167977.32</v>
      </c>
      <c r="AA439">
        <v>20459.96</v>
      </c>
      <c r="AB439">
        <v>251751.96</v>
      </c>
      <c r="AC439">
        <v>1188741.75</v>
      </c>
      <c r="AD439">
        <v>1.02</v>
      </c>
      <c r="AE439">
        <v>1.01</v>
      </c>
      <c r="AF439">
        <v>1.21</v>
      </c>
      <c r="AG439">
        <v>2.4500000000000002</v>
      </c>
      <c r="AH439">
        <v>0</v>
      </c>
      <c r="AI439">
        <v>0</v>
      </c>
      <c r="AJ439">
        <v>0</v>
      </c>
      <c r="AK439">
        <v>0</v>
      </c>
      <c r="AL439">
        <v>358877.75</v>
      </c>
      <c r="AM439">
        <v>68363.269999999902</v>
      </c>
      <c r="AN439">
        <v>513306.07999999903</v>
      </c>
      <c r="AO439">
        <v>2718977.8899999899</v>
      </c>
      <c r="AP439">
        <v>404742.04</v>
      </c>
      <c r="AQ439">
        <v>92682.34</v>
      </c>
      <c r="AR439">
        <v>144892.76</v>
      </c>
      <c r="AS439">
        <v>-479230.53999999899</v>
      </c>
      <c r="AT439">
        <v>35.380175999999999</v>
      </c>
      <c r="AU439">
        <v>34.354150896</v>
      </c>
      <c r="AV439">
        <v>30094236.184896</v>
      </c>
      <c r="AW439">
        <v>126424744.639</v>
      </c>
      <c r="AX439">
        <v>4.2009620666980503</v>
      </c>
      <c r="AY439">
        <v>862830.93359999999</v>
      </c>
      <c r="AZ439">
        <v>1.0140003103942501</v>
      </c>
      <c r="BA439">
        <v>966804.87804878002</v>
      </c>
      <c r="BB439">
        <v>1.13619065828093</v>
      </c>
      <c r="BC439">
        <v>24.5348188172043</v>
      </c>
    </row>
    <row r="440" spans="1:55" x14ac:dyDescent="0.2">
      <c r="A440" t="s">
        <v>915</v>
      </c>
      <c r="B440" t="s">
        <v>916</v>
      </c>
      <c r="C440">
        <v>0</v>
      </c>
      <c r="D440">
        <v>0</v>
      </c>
      <c r="E440">
        <v>200</v>
      </c>
      <c r="F440">
        <v>210</v>
      </c>
      <c r="G440">
        <v>8</v>
      </c>
      <c r="H440">
        <v>0</v>
      </c>
      <c r="I440">
        <v>418</v>
      </c>
      <c r="J440">
        <v>4322.22</v>
      </c>
      <c r="K440">
        <v>39425.519999999997</v>
      </c>
      <c r="L440">
        <v>27597.86</v>
      </c>
      <c r="M440">
        <v>6631.63</v>
      </c>
      <c r="N440">
        <v>1</v>
      </c>
      <c r="O440">
        <v>0</v>
      </c>
      <c r="P440">
        <v>16590000</v>
      </c>
      <c r="Q440">
        <v>5426.99</v>
      </c>
      <c r="R440">
        <v>1578.26</v>
      </c>
      <c r="S440">
        <v>13788.98</v>
      </c>
      <c r="T440">
        <v>88603.87</v>
      </c>
      <c r="U440">
        <v>1</v>
      </c>
      <c r="V440">
        <v>13800</v>
      </c>
      <c r="W440">
        <v>4100</v>
      </c>
      <c r="X440">
        <v>15000</v>
      </c>
      <c r="Y440">
        <v>0</v>
      </c>
      <c r="Z440">
        <v>4955.93</v>
      </c>
      <c r="AA440">
        <v>1441.26</v>
      </c>
      <c r="AB440">
        <v>12592.1</v>
      </c>
      <c r="AC440">
        <v>80913.119999999995</v>
      </c>
      <c r="AD440">
        <v>1.19</v>
      </c>
      <c r="AE440">
        <v>0.93</v>
      </c>
      <c r="AF440">
        <v>0.63</v>
      </c>
      <c r="AG440">
        <v>2.76</v>
      </c>
      <c r="AH440">
        <v>71703.06</v>
      </c>
      <c r="AI440">
        <v>12729.79</v>
      </c>
      <c r="AJ440">
        <v>37872.870000000003</v>
      </c>
      <c r="AK440">
        <v>7690.75</v>
      </c>
      <c r="AL440">
        <v>18755.93</v>
      </c>
      <c r="AM440">
        <v>5541.26</v>
      </c>
      <c r="AN440">
        <v>27592.1</v>
      </c>
      <c r="AO440">
        <v>80913.119999999995</v>
      </c>
      <c r="AP440">
        <v>-57434.14</v>
      </c>
      <c r="AQ440">
        <v>-10061.16</v>
      </c>
      <c r="AR440">
        <v>-51674.99</v>
      </c>
      <c r="AS440">
        <v>0</v>
      </c>
      <c r="AT440">
        <v>0.453592</v>
      </c>
      <c r="AU440">
        <v>0.44043783199999997</v>
      </c>
      <c r="AV440">
        <v>0</v>
      </c>
      <c r="AW440">
        <v>62799951.899999999</v>
      </c>
      <c r="AY440">
        <v>55843.082399999999</v>
      </c>
      <c r="AZ440">
        <v>1.41641967943606</v>
      </c>
      <c r="BA440">
        <v>55106.097560975599</v>
      </c>
      <c r="BB440">
        <v>1.39772658828534</v>
      </c>
      <c r="BC440">
        <v>28.263320574162599</v>
      </c>
    </row>
    <row r="441" spans="1:55" x14ac:dyDescent="0.2">
      <c r="A441" t="s">
        <v>917</v>
      </c>
      <c r="B441" t="s">
        <v>918</v>
      </c>
      <c r="C441">
        <v>900</v>
      </c>
      <c r="D441">
        <v>140</v>
      </c>
      <c r="E441">
        <v>375</v>
      </c>
      <c r="F441">
        <v>290</v>
      </c>
      <c r="G441">
        <v>125</v>
      </c>
      <c r="H441">
        <v>0</v>
      </c>
      <c r="I441">
        <v>1830</v>
      </c>
      <c r="J441">
        <v>33171.870000000003</v>
      </c>
      <c r="K441">
        <v>409053.84</v>
      </c>
      <c r="L441">
        <v>286337.69</v>
      </c>
      <c r="M441">
        <v>67820.990000000005</v>
      </c>
      <c r="N441">
        <v>177573.88</v>
      </c>
      <c r="O441">
        <v>457207.2</v>
      </c>
      <c r="P441">
        <v>17616000</v>
      </c>
      <c r="Q441">
        <v>70464.11</v>
      </c>
      <c r="R441">
        <v>4753.6499999999996</v>
      </c>
      <c r="S441">
        <v>115295.59</v>
      </c>
      <c r="T441">
        <v>762706.3</v>
      </c>
      <c r="U441">
        <v>78</v>
      </c>
      <c r="V441">
        <v>62812.13</v>
      </c>
      <c r="W441">
        <v>14363.68</v>
      </c>
      <c r="X441">
        <v>21929.33</v>
      </c>
      <c r="Y441">
        <v>1701545.5</v>
      </c>
      <c r="Z441">
        <v>70464.11</v>
      </c>
      <c r="AA441">
        <v>4753.6499999999996</v>
      </c>
      <c r="AB441">
        <v>115295.59</v>
      </c>
      <c r="AC441">
        <v>762706.3</v>
      </c>
      <c r="AD441">
        <v>1.24</v>
      </c>
      <c r="AE441">
        <v>0.83</v>
      </c>
      <c r="AF441">
        <v>0.85</v>
      </c>
      <c r="AG441">
        <v>3.53</v>
      </c>
      <c r="AH441">
        <v>0</v>
      </c>
      <c r="AI441">
        <v>0</v>
      </c>
      <c r="AJ441">
        <v>0</v>
      </c>
      <c r="AK441">
        <v>0</v>
      </c>
      <c r="AL441">
        <v>133276.24</v>
      </c>
      <c r="AM441">
        <v>19117.330000000002</v>
      </c>
      <c r="AN441">
        <v>137224.91999999899</v>
      </c>
      <c r="AO441">
        <v>2464251.7999999998</v>
      </c>
      <c r="AP441">
        <v>223525.56</v>
      </c>
      <c r="AQ441">
        <v>53457.31</v>
      </c>
      <c r="AR441">
        <v>155644.54999999999</v>
      </c>
      <c r="AS441">
        <v>-1244338.29999999</v>
      </c>
      <c r="AT441">
        <v>35.380175999999999</v>
      </c>
      <c r="AU441">
        <v>34.354150896</v>
      </c>
      <c r="AV441">
        <v>13040835.680121601</v>
      </c>
      <c r="AW441">
        <v>66683782.560000002</v>
      </c>
      <c r="AX441">
        <v>5.1134593054988997</v>
      </c>
      <c r="AY441">
        <v>428580.56040000002</v>
      </c>
      <c r="AZ441">
        <v>1.0477363087460501</v>
      </c>
      <c r="BA441">
        <v>473965.85365853598</v>
      </c>
      <c r="BB441">
        <v>1.1586881904312001</v>
      </c>
      <c r="BC441">
        <v>24.959564507248999</v>
      </c>
    </row>
    <row r="442" spans="1:55" x14ac:dyDescent="0.2">
      <c r="A442" t="s">
        <v>919</v>
      </c>
      <c r="B442" t="s">
        <v>920</v>
      </c>
      <c r="C442">
        <v>0</v>
      </c>
      <c r="D442">
        <v>0</v>
      </c>
      <c r="E442">
        <v>520</v>
      </c>
      <c r="F442">
        <v>180</v>
      </c>
      <c r="G442">
        <v>0</v>
      </c>
      <c r="H442">
        <v>0</v>
      </c>
      <c r="I442">
        <v>700</v>
      </c>
      <c r="J442">
        <v>6757.79</v>
      </c>
      <c r="K442">
        <v>66612</v>
      </c>
      <c r="L442">
        <v>46628.4</v>
      </c>
      <c r="M442">
        <v>11272.8</v>
      </c>
      <c r="N442">
        <v>1</v>
      </c>
      <c r="O442">
        <v>0</v>
      </c>
      <c r="P442">
        <v>8820000</v>
      </c>
      <c r="Q442">
        <v>16662.29</v>
      </c>
      <c r="R442">
        <v>3447.57</v>
      </c>
      <c r="S442">
        <v>43530.86</v>
      </c>
      <c r="T442">
        <v>128039</v>
      </c>
      <c r="U442">
        <v>1</v>
      </c>
      <c r="V442">
        <v>28062.02</v>
      </c>
      <c r="W442">
        <v>12497.21</v>
      </c>
      <c r="X442">
        <v>70364.42</v>
      </c>
      <c r="Y442">
        <v>1133077.44</v>
      </c>
      <c r="Z442">
        <v>16662.29</v>
      </c>
      <c r="AA442">
        <v>3447.57</v>
      </c>
      <c r="AB442">
        <v>43530.86</v>
      </c>
      <c r="AC442">
        <v>128039</v>
      </c>
      <c r="AD442">
        <v>1.25</v>
      </c>
      <c r="AE442">
        <v>2.4</v>
      </c>
      <c r="AF442">
        <v>2.57</v>
      </c>
      <c r="AG442">
        <v>6.59</v>
      </c>
      <c r="AH442">
        <v>0</v>
      </c>
      <c r="AI442">
        <v>0</v>
      </c>
      <c r="AJ442">
        <v>0</v>
      </c>
      <c r="AK442">
        <v>0</v>
      </c>
      <c r="AL442">
        <v>44724.31</v>
      </c>
      <c r="AM442">
        <v>15944.779999999901</v>
      </c>
      <c r="AN442">
        <v>113895.28</v>
      </c>
      <c r="AO442">
        <v>1261116.44</v>
      </c>
      <c r="AP442">
        <v>18566.38</v>
      </c>
      <c r="AQ442">
        <v>-1224.4099999999901</v>
      </c>
      <c r="AR442">
        <v>-70363.42</v>
      </c>
      <c r="AS442">
        <v>-1133077.44</v>
      </c>
      <c r="AT442">
        <v>0.453592</v>
      </c>
      <c r="AU442">
        <v>0.44043783199999997</v>
      </c>
      <c r="AV442">
        <v>0</v>
      </c>
      <c r="AW442">
        <v>33387316.199999999</v>
      </c>
      <c r="AY442">
        <v>87310.646800000002</v>
      </c>
      <c r="AZ442">
        <v>1.3107345042935199</v>
      </c>
      <c r="BA442">
        <v>93475.609756097503</v>
      </c>
      <c r="BB442">
        <v>1.40328483991019</v>
      </c>
      <c r="BC442">
        <v>26.387560952380898</v>
      </c>
    </row>
    <row r="443" spans="1:55" x14ac:dyDescent="0.2">
      <c r="A443" t="s">
        <v>921</v>
      </c>
      <c r="B443" t="s">
        <v>922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1</v>
      </c>
      <c r="L443">
        <v>0.7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31348.41</v>
      </c>
      <c r="W443">
        <v>6746.74</v>
      </c>
      <c r="X443">
        <v>19789.650000000001</v>
      </c>
      <c r="Y443">
        <v>1021555.45</v>
      </c>
      <c r="Z443">
        <v>30085.26</v>
      </c>
      <c r="AA443">
        <v>2125.86</v>
      </c>
      <c r="AB443">
        <v>42744.26</v>
      </c>
      <c r="AC443">
        <v>438406.91</v>
      </c>
      <c r="AD443">
        <v>1.1200000000000001</v>
      </c>
      <c r="AE443">
        <v>1.01</v>
      </c>
      <c r="AF443">
        <v>0.86</v>
      </c>
      <c r="AG443">
        <v>4.91</v>
      </c>
      <c r="AH443">
        <v>0</v>
      </c>
      <c r="AI443">
        <v>0</v>
      </c>
      <c r="AJ443">
        <v>0</v>
      </c>
      <c r="AK443">
        <v>0</v>
      </c>
      <c r="AL443">
        <v>61433.67</v>
      </c>
      <c r="AM443">
        <v>8872.6</v>
      </c>
      <c r="AN443">
        <v>62533.91</v>
      </c>
      <c r="AO443">
        <v>1459962.3599999901</v>
      </c>
      <c r="AP443">
        <v>-61432.97</v>
      </c>
      <c r="AQ443">
        <v>-8871.6</v>
      </c>
      <c r="AR443">
        <v>-62532.91</v>
      </c>
      <c r="AS443">
        <v>-1459962.3599999901</v>
      </c>
      <c r="AT443">
        <v>0.453592</v>
      </c>
      <c r="AU443">
        <v>0.44043783199999997</v>
      </c>
      <c r="AV443">
        <v>0</v>
      </c>
      <c r="AW443">
        <v>0</v>
      </c>
    </row>
    <row r="444" spans="1:55" x14ac:dyDescent="0.2">
      <c r="A444" t="s">
        <v>923</v>
      </c>
      <c r="B444" t="s">
        <v>924</v>
      </c>
      <c r="C444">
        <v>840</v>
      </c>
      <c r="D444">
        <v>30</v>
      </c>
      <c r="E444">
        <v>15</v>
      </c>
      <c r="F444">
        <v>0</v>
      </c>
      <c r="G444">
        <v>24</v>
      </c>
      <c r="H444">
        <v>0</v>
      </c>
      <c r="I444">
        <v>909</v>
      </c>
      <c r="J444">
        <v>21332.09</v>
      </c>
      <c r="K444">
        <v>279005.98</v>
      </c>
      <c r="L444">
        <v>195304.19</v>
      </c>
      <c r="M444">
        <v>46738.39</v>
      </c>
      <c r="N444">
        <v>156327.96</v>
      </c>
      <c r="O444">
        <v>403515</v>
      </c>
      <c r="P444">
        <v>8025130</v>
      </c>
      <c r="Q444">
        <v>48080.83</v>
      </c>
      <c r="R444">
        <v>7118.06</v>
      </c>
      <c r="S444">
        <v>50698.17</v>
      </c>
      <c r="T444">
        <v>437105.63</v>
      </c>
      <c r="U444">
        <v>61</v>
      </c>
      <c r="V444">
        <v>0</v>
      </c>
      <c r="W444">
        <v>0</v>
      </c>
      <c r="X444">
        <v>0</v>
      </c>
      <c r="Y444">
        <v>0</v>
      </c>
      <c r="Z444">
        <v>32962.959999999999</v>
      </c>
      <c r="AA444">
        <v>4940.41</v>
      </c>
      <c r="AB444">
        <v>34772.86</v>
      </c>
      <c r="AC444">
        <v>308775.43</v>
      </c>
      <c r="AD444">
        <v>1.1599999999999999</v>
      </c>
      <c r="AE444">
        <v>0.73</v>
      </c>
      <c r="AF444">
        <v>0.85</v>
      </c>
      <c r="AG444">
        <v>2.12</v>
      </c>
      <c r="AH444">
        <v>114657.51</v>
      </c>
      <c r="AI444">
        <v>32648.3</v>
      </c>
      <c r="AJ444">
        <v>150587.26999999999</v>
      </c>
      <c r="AK444">
        <v>1559618.2</v>
      </c>
      <c r="AL444">
        <v>32962.959999999999</v>
      </c>
      <c r="AM444">
        <v>4940.41</v>
      </c>
      <c r="AN444">
        <v>34772.86</v>
      </c>
      <c r="AO444">
        <v>308775.43</v>
      </c>
      <c r="AP444">
        <v>95764.55</v>
      </c>
      <c r="AQ444">
        <v>16267.7399999999</v>
      </c>
      <c r="AR444">
        <v>21666</v>
      </c>
      <c r="AS444">
        <v>-1027773</v>
      </c>
      <c r="AT444">
        <v>27.669111999999998</v>
      </c>
      <c r="AU444">
        <v>26.8667077519999</v>
      </c>
      <c r="AV444">
        <v>8531523.0466475897</v>
      </c>
      <c r="AW444">
        <v>30378407.353300001</v>
      </c>
      <c r="AX444">
        <v>3.5607249944940298</v>
      </c>
      <c r="AY444">
        <v>275610.60279999999</v>
      </c>
      <c r="AZ444">
        <v>0.98783045008569303</v>
      </c>
      <c r="BA444">
        <v>320621.34146341402</v>
      </c>
      <c r="BB444">
        <v>1.1491558047014401</v>
      </c>
      <c r="BC444">
        <v>24.124001930768099</v>
      </c>
    </row>
    <row r="445" spans="1:55" x14ac:dyDescent="0.2">
      <c r="A445" t="s">
        <v>925</v>
      </c>
      <c r="B445" t="s">
        <v>926</v>
      </c>
      <c r="C445">
        <v>875</v>
      </c>
      <c r="D445">
        <v>90</v>
      </c>
      <c r="E445">
        <v>255</v>
      </c>
      <c r="F445">
        <v>400</v>
      </c>
      <c r="G445">
        <v>175</v>
      </c>
      <c r="H445">
        <v>155</v>
      </c>
      <c r="I445">
        <v>1950</v>
      </c>
      <c r="J445">
        <v>31434.52</v>
      </c>
      <c r="K445">
        <v>392663.24</v>
      </c>
      <c r="L445">
        <v>274864.27</v>
      </c>
      <c r="M445">
        <v>64229.7</v>
      </c>
      <c r="N445">
        <v>169182.57</v>
      </c>
      <c r="O445">
        <v>433874.7</v>
      </c>
      <c r="P445">
        <v>7400000</v>
      </c>
      <c r="Q445">
        <v>31725.24</v>
      </c>
      <c r="R445">
        <v>5660.25</v>
      </c>
      <c r="S445">
        <v>44347.42</v>
      </c>
      <c r="T445">
        <v>348207.64</v>
      </c>
      <c r="U445">
        <v>72</v>
      </c>
      <c r="V445">
        <v>323276.63</v>
      </c>
      <c r="W445">
        <v>67414.850000000006</v>
      </c>
      <c r="X445">
        <v>157603.06</v>
      </c>
      <c r="Y445">
        <v>1450764</v>
      </c>
      <c r="Z445">
        <v>31725.24</v>
      </c>
      <c r="AA445">
        <v>5660.25</v>
      </c>
      <c r="AB445">
        <v>44347.42</v>
      </c>
      <c r="AC445">
        <v>348207.64</v>
      </c>
      <c r="AD445">
        <v>1.24</v>
      </c>
      <c r="AE445">
        <v>1.1599999999999999</v>
      </c>
      <c r="AF445">
        <v>0.61</v>
      </c>
      <c r="AG445">
        <v>1.32</v>
      </c>
      <c r="AH445">
        <v>0</v>
      </c>
      <c r="AI445">
        <v>0</v>
      </c>
      <c r="AJ445">
        <v>0</v>
      </c>
      <c r="AK445">
        <v>0</v>
      </c>
      <c r="AL445">
        <v>355001.87</v>
      </c>
      <c r="AM445">
        <v>73075.100000000006</v>
      </c>
      <c r="AN445">
        <v>201950.47999999899</v>
      </c>
      <c r="AO445">
        <v>1798971.64</v>
      </c>
      <c r="AP445">
        <v>-48412.359999999899</v>
      </c>
      <c r="AQ445">
        <v>-3185.15</v>
      </c>
      <c r="AR445">
        <v>11579.51</v>
      </c>
      <c r="AS445">
        <v>-1016889.3</v>
      </c>
      <c r="AT445">
        <v>32.658624000000003</v>
      </c>
      <c r="AU445">
        <v>31.711523904</v>
      </c>
      <c r="AV445">
        <v>11169591.5070864</v>
      </c>
      <c r="AW445">
        <v>28012034</v>
      </c>
      <c r="AX445">
        <v>2.50788347830161</v>
      </c>
      <c r="AY445">
        <v>406133.99839999998</v>
      </c>
      <c r="AZ445">
        <v>1.03430613571059</v>
      </c>
      <c r="BA445">
        <v>454380.48780487798</v>
      </c>
      <c r="BB445">
        <v>1.15717602647214</v>
      </c>
      <c r="BC445">
        <v>23.7176172248803</v>
      </c>
    </row>
    <row r="446" spans="1:55" x14ac:dyDescent="0.2">
      <c r="A446" t="s">
        <v>927</v>
      </c>
      <c r="B446" t="s">
        <v>928</v>
      </c>
      <c r="C446">
        <v>1639</v>
      </c>
      <c r="D446">
        <v>253</v>
      </c>
      <c r="E446">
        <v>740</v>
      </c>
      <c r="F446">
        <v>600</v>
      </c>
      <c r="G446">
        <v>300</v>
      </c>
      <c r="H446">
        <v>30</v>
      </c>
      <c r="I446">
        <v>3562</v>
      </c>
      <c r="J446">
        <v>60857.2</v>
      </c>
      <c r="K446">
        <v>741916.58</v>
      </c>
      <c r="L446">
        <v>519341.61</v>
      </c>
      <c r="M446">
        <v>122200.38</v>
      </c>
      <c r="N446">
        <v>314743.58</v>
      </c>
      <c r="O446">
        <v>832174.2</v>
      </c>
      <c r="P446">
        <v>25544458</v>
      </c>
      <c r="Q446">
        <v>360526.67</v>
      </c>
      <c r="R446">
        <v>9657.89</v>
      </c>
      <c r="S446">
        <v>236429.42</v>
      </c>
      <c r="T446">
        <v>1385947.62</v>
      </c>
      <c r="U446">
        <v>70</v>
      </c>
      <c r="V446">
        <v>80473.64</v>
      </c>
      <c r="W446">
        <v>38903.49</v>
      </c>
      <c r="X446">
        <v>84078.25</v>
      </c>
      <c r="Y446">
        <v>3171093.76</v>
      </c>
      <c r="Z446">
        <v>196724.38</v>
      </c>
      <c r="AA446">
        <v>6803.05</v>
      </c>
      <c r="AB446">
        <v>162885.54</v>
      </c>
      <c r="AC446">
        <v>1055668.72</v>
      </c>
      <c r="AD446">
        <v>1.26</v>
      </c>
      <c r="AE446">
        <v>1.36</v>
      </c>
      <c r="AF446">
        <v>1.17</v>
      </c>
      <c r="AG446">
        <v>6.71</v>
      </c>
      <c r="AH446">
        <v>180648.37</v>
      </c>
      <c r="AI446">
        <v>3023.3</v>
      </c>
      <c r="AJ446">
        <v>90389.97</v>
      </c>
      <c r="AK446">
        <v>347124.99</v>
      </c>
      <c r="AL446">
        <v>277198.02</v>
      </c>
      <c r="AM446">
        <v>45706.54</v>
      </c>
      <c r="AN446">
        <v>246963.79</v>
      </c>
      <c r="AO446">
        <v>4226762.4799999902</v>
      </c>
      <c r="AP446">
        <v>422021.89</v>
      </c>
      <c r="AQ446">
        <v>83128.429999999993</v>
      </c>
      <c r="AR446">
        <v>213819.239999999</v>
      </c>
      <c r="AS446">
        <v>-2355765.6499999901</v>
      </c>
      <c r="AT446">
        <v>31.751439999999999</v>
      </c>
      <c r="AU446">
        <v>30.830648239999999</v>
      </c>
      <c r="AV446">
        <v>21291029.061579101</v>
      </c>
      <c r="AW446">
        <v>96696246.757780001</v>
      </c>
      <c r="AX446">
        <v>4.5416427021028101</v>
      </c>
      <c r="AY446">
        <v>786275.02399999998</v>
      </c>
      <c r="AZ446">
        <v>1.0597889913715</v>
      </c>
      <c r="BA446">
        <v>884208.04878048797</v>
      </c>
      <c r="BB446">
        <v>1.19178904019167</v>
      </c>
      <c r="BC446">
        <v>24.313940480598699</v>
      </c>
    </row>
    <row r="447" spans="1:55" x14ac:dyDescent="0.2">
      <c r="A447" t="s">
        <v>929</v>
      </c>
      <c r="B447" t="s">
        <v>930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1</v>
      </c>
      <c r="L447">
        <v>0.7</v>
      </c>
      <c r="M447">
        <v>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2663.77</v>
      </c>
      <c r="W447">
        <v>580.99</v>
      </c>
      <c r="X447">
        <v>1425.06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0.94</v>
      </c>
      <c r="AE447">
        <v>0.39</v>
      </c>
      <c r="AF447">
        <v>0.14000000000000001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2663.77</v>
      </c>
      <c r="AM447">
        <v>580.99</v>
      </c>
      <c r="AN447">
        <v>1425.06</v>
      </c>
      <c r="AO447">
        <v>0</v>
      </c>
      <c r="AP447">
        <v>-2663.07</v>
      </c>
      <c r="AQ447">
        <v>-579.99</v>
      </c>
      <c r="AR447">
        <v>-1424.06</v>
      </c>
      <c r="AS447">
        <v>0</v>
      </c>
      <c r="AT447">
        <v>0.453592</v>
      </c>
      <c r="AU447">
        <v>0.44043783199999997</v>
      </c>
      <c r="AV447">
        <v>0</v>
      </c>
      <c r="AW447">
        <v>0</v>
      </c>
    </row>
    <row r="448" spans="1:55" x14ac:dyDescent="0.2">
      <c r="A448" t="s">
        <v>931</v>
      </c>
      <c r="B448" t="s">
        <v>932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1</v>
      </c>
      <c r="L448">
        <v>0.7</v>
      </c>
      <c r="M448">
        <v>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0.59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0.7</v>
      </c>
      <c r="AQ448">
        <v>1</v>
      </c>
      <c r="AR448">
        <v>1</v>
      </c>
      <c r="AS448">
        <v>0</v>
      </c>
      <c r="AT448">
        <v>0.453592</v>
      </c>
      <c r="AU448">
        <v>0.44043783199999997</v>
      </c>
      <c r="AV448">
        <v>0</v>
      </c>
      <c r="AW448">
        <v>0</v>
      </c>
    </row>
    <row r="449" spans="1:55" x14ac:dyDescent="0.2">
      <c r="A449" t="s">
        <v>933</v>
      </c>
      <c r="B449" t="s">
        <v>934</v>
      </c>
      <c r="C449">
        <v>2050</v>
      </c>
      <c r="D449">
        <v>324</v>
      </c>
      <c r="E449">
        <v>130</v>
      </c>
      <c r="F449">
        <v>0</v>
      </c>
      <c r="G449">
        <v>462</v>
      </c>
      <c r="H449">
        <v>0</v>
      </c>
      <c r="I449">
        <v>2966</v>
      </c>
      <c r="J449">
        <v>57809.66</v>
      </c>
      <c r="K449">
        <v>759514.44</v>
      </c>
      <c r="L449">
        <v>531660.11</v>
      </c>
      <c r="M449">
        <v>123667.67</v>
      </c>
      <c r="N449">
        <v>382865.19</v>
      </c>
      <c r="O449">
        <v>1042594.92</v>
      </c>
      <c r="P449">
        <v>23477500</v>
      </c>
      <c r="Q449">
        <v>251470.11</v>
      </c>
      <c r="R449">
        <v>57147.68</v>
      </c>
      <c r="S449">
        <v>155074.74</v>
      </c>
      <c r="T449">
        <v>949192.12</v>
      </c>
      <c r="U449">
        <v>62</v>
      </c>
      <c r="V449">
        <v>0</v>
      </c>
      <c r="W449">
        <v>0</v>
      </c>
      <c r="X449">
        <v>0</v>
      </c>
      <c r="Y449">
        <v>0</v>
      </c>
      <c r="Z449">
        <v>117372.98</v>
      </c>
      <c r="AA449">
        <v>12039.62</v>
      </c>
      <c r="AB449">
        <v>107758.59</v>
      </c>
      <c r="AC449">
        <v>852982.61</v>
      </c>
      <c r="AD449">
        <v>1.18</v>
      </c>
      <c r="AE449">
        <v>0.65</v>
      </c>
      <c r="AF449">
        <v>0.83</v>
      </c>
      <c r="AG449">
        <v>2.0099999999999998</v>
      </c>
      <c r="AH449">
        <v>179140.32</v>
      </c>
      <c r="AI449">
        <v>51962.46</v>
      </c>
      <c r="AJ449">
        <v>60829.11</v>
      </c>
      <c r="AK449">
        <v>96209.51</v>
      </c>
      <c r="AL449">
        <v>117372.98</v>
      </c>
      <c r="AM449">
        <v>12039.62</v>
      </c>
      <c r="AN449">
        <v>107758.59</v>
      </c>
      <c r="AO449">
        <v>852982.61</v>
      </c>
      <c r="AP449">
        <v>486616.92</v>
      </c>
      <c r="AQ449">
        <v>116813.27</v>
      </c>
      <c r="AR449">
        <v>369352.23</v>
      </c>
      <c r="AS449">
        <v>1042594.92</v>
      </c>
      <c r="AT449">
        <v>28.122703999999999</v>
      </c>
      <c r="AU449">
        <v>27.307145583999901</v>
      </c>
      <c r="AV449">
        <v>23661914.719991799</v>
      </c>
      <c r="AW449">
        <v>88871963.275000006</v>
      </c>
      <c r="AX449">
        <v>3.7559075132627502</v>
      </c>
      <c r="AY449">
        <v>746900.80720000004</v>
      </c>
      <c r="AZ449">
        <v>0.98339250429524405</v>
      </c>
      <c r="BA449">
        <v>904434.39024390199</v>
      </c>
      <c r="BB449">
        <v>1.19080605003889</v>
      </c>
      <c r="BC449">
        <v>22.3152885683619</v>
      </c>
    </row>
    <row r="450" spans="1:55" x14ac:dyDescent="0.2">
      <c r="A450" t="s">
        <v>935</v>
      </c>
      <c r="B450" t="s">
        <v>936</v>
      </c>
      <c r="C450">
        <v>1450</v>
      </c>
      <c r="D450">
        <v>170</v>
      </c>
      <c r="E450">
        <v>175</v>
      </c>
      <c r="F450">
        <v>750</v>
      </c>
      <c r="G450">
        <v>250</v>
      </c>
      <c r="H450">
        <v>0</v>
      </c>
      <c r="I450">
        <v>2795</v>
      </c>
      <c r="J450">
        <v>49615.75</v>
      </c>
      <c r="K450">
        <v>624038.6</v>
      </c>
      <c r="L450">
        <v>436827.02</v>
      </c>
      <c r="M450">
        <v>103282.45</v>
      </c>
      <c r="N450">
        <v>280359.69</v>
      </c>
      <c r="O450">
        <v>723801.59999999998</v>
      </c>
      <c r="P450">
        <v>11424000</v>
      </c>
      <c r="Q450">
        <v>71131.44</v>
      </c>
      <c r="R450">
        <v>8847.41</v>
      </c>
      <c r="S450">
        <v>81826.399999999994</v>
      </c>
      <c r="T450">
        <v>561873.52</v>
      </c>
      <c r="U450">
        <v>72</v>
      </c>
      <c r="V450">
        <v>55215.22</v>
      </c>
      <c r="W450">
        <v>14070.97</v>
      </c>
      <c r="X450">
        <v>16772.36</v>
      </c>
      <c r="Y450">
        <v>388881.36</v>
      </c>
      <c r="Z450">
        <v>71131.44</v>
      </c>
      <c r="AA450">
        <v>8847.41</v>
      </c>
      <c r="AB450">
        <v>81826.399999999994</v>
      </c>
      <c r="AC450">
        <v>561873.52</v>
      </c>
      <c r="AD450">
        <v>1.21</v>
      </c>
      <c r="AE450">
        <v>0.84</v>
      </c>
      <c r="AF450">
        <v>0.48</v>
      </c>
      <c r="AG450">
        <v>3.01</v>
      </c>
      <c r="AH450">
        <v>0</v>
      </c>
      <c r="AI450">
        <v>0</v>
      </c>
      <c r="AJ450">
        <v>0</v>
      </c>
      <c r="AK450">
        <v>0</v>
      </c>
      <c r="AL450">
        <v>126346.66</v>
      </c>
      <c r="AM450">
        <v>22918.379999999899</v>
      </c>
      <c r="AN450">
        <v>98598.76</v>
      </c>
      <c r="AO450">
        <v>950754.88</v>
      </c>
      <c r="AP450">
        <v>381611.8</v>
      </c>
      <c r="AQ450">
        <v>89211.48</v>
      </c>
      <c r="AR450">
        <v>263587.32999999903</v>
      </c>
      <c r="AS450">
        <v>334920.24</v>
      </c>
      <c r="AT450">
        <v>32.658624000000003</v>
      </c>
      <c r="AU450">
        <v>31.711523904</v>
      </c>
      <c r="AV450">
        <v>18751024.084435198</v>
      </c>
      <c r="AW450">
        <v>43244523.840000004</v>
      </c>
      <c r="AX450">
        <v>2.3062486424886099</v>
      </c>
      <c r="AY450">
        <v>641035.49</v>
      </c>
      <c r="AZ450">
        <v>1.02723692092123</v>
      </c>
      <c r="BA450">
        <v>725949.39024390199</v>
      </c>
      <c r="BB450">
        <v>1.1633084720142299</v>
      </c>
      <c r="BC450">
        <v>24.204244749836299</v>
      </c>
    </row>
    <row r="451" spans="1:55" x14ac:dyDescent="0.2">
      <c r="A451" t="s">
        <v>937</v>
      </c>
      <c r="B451" t="s">
        <v>938</v>
      </c>
      <c r="C451">
        <v>345</v>
      </c>
      <c r="D451">
        <v>193</v>
      </c>
      <c r="E451">
        <v>200</v>
      </c>
      <c r="F451">
        <v>400</v>
      </c>
      <c r="G451">
        <v>175</v>
      </c>
      <c r="H451">
        <v>0</v>
      </c>
      <c r="I451">
        <v>1313</v>
      </c>
      <c r="J451">
        <v>17736.32</v>
      </c>
      <c r="K451">
        <v>214750.94</v>
      </c>
      <c r="L451">
        <v>150325.66</v>
      </c>
      <c r="M451">
        <v>34112.589999999997</v>
      </c>
      <c r="N451">
        <v>65115.27</v>
      </c>
      <c r="O451">
        <v>207390.24</v>
      </c>
      <c r="P451">
        <v>15908193</v>
      </c>
      <c r="Q451">
        <v>55470.79</v>
      </c>
      <c r="R451">
        <v>5048.2700000000004</v>
      </c>
      <c r="S451">
        <v>87144.76</v>
      </c>
      <c r="T451">
        <v>779965.95</v>
      </c>
      <c r="U451">
        <v>65</v>
      </c>
      <c r="V451">
        <v>55248.37</v>
      </c>
      <c r="W451">
        <v>17899.89</v>
      </c>
      <c r="X451">
        <v>76334.66</v>
      </c>
      <c r="Y451">
        <v>2636255.35</v>
      </c>
      <c r="Z451">
        <v>55470.79</v>
      </c>
      <c r="AA451">
        <v>5048.2700000000004</v>
      </c>
      <c r="AB451">
        <v>87144.76</v>
      </c>
      <c r="AC451">
        <v>779965.95</v>
      </c>
      <c r="AD451">
        <v>1.19</v>
      </c>
      <c r="AE451">
        <v>0.77</v>
      </c>
      <c r="AF451">
        <v>0.72</v>
      </c>
      <c r="AG451">
        <v>5.22</v>
      </c>
      <c r="AH451">
        <v>0</v>
      </c>
      <c r="AI451">
        <v>0</v>
      </c>
      <c r="AJ451">
        <v>0</v>
      </c>
      <c r="AK451">
        <v>0</v>
      </c>
      <c r="AL451">
        <v>110719.16</v>
      </c>
      <c r="AM451">
        <v>22948.16</v>
      </c>
      <c r="AN451">
        <v>163479.41999999899</v>
      </c>
      <c r="AO451">
        <v>3416221.3</v>
      </c>
      <c r="AP451">
        <v>95077.29</v>
      </c>
      <c r="AQ451">
        <v>16212.7</v>
      </c>
      <c r="AR451">
        <v>-11219.389999999899</v>
      </c>
      <c r="AS451">
        <v>-2428865.11</v>
      </c>
      <c r="AT451">
        <v>29.48348</v>
      </c>
      <c r="AU451">
        <v>28.628459079999999</v>
      </c>
      <c r="AV451">
        <v>5621770.5095395902</v>
      </c>
      <c r="AW451">
        <v>60219032.864129998</v>
      </c>
      <c r="AX451">
        <v>10.711755800409099</v>
      </c>
      <c r="AY451">
        <v>229153.25440000001</v>
      </c>
      <c r="AZ451">
        <v>1.06706519841077</v>
      </c>
      <c r="BA451">
        <v>284281.58536585298</v>
      </c>
      <c r="BB451">
        <v>1.32377341568727</v>
      </c>
      <c r="BC451">
        <v>21.5892028619778</v>
      </c>
    </row>
    <row r="452" spans="1:55" x14ac:dyDescent="0.2">
      <c r="A452" t="s">
        <v>939</v>
      </c>
      <c r="B452" t="s">
        <v>940</v>
      </c>
      <c r="C452">
        <v>0</v>
      </c>
      <c r="D452">
        <v>29</v>
      </c>
      <c r="E452">
        <v>101</v>
      </c>
      <c r="F452">
        <v>0</v>
      </c>
      <c r="G452">
        <v>0</v>
      </c>
      <c r="H452">
        <v>0</v>
      </c>
      <c r="I452">
        <v>130</v>
      </c>
      <c r="J452">
        <v>1450.3</v>
      </c>
      <c r="K452">
        <v>14918.16</v>
      </c>
      <c r="L452">
        <v>10442.709999999999</v>
      </c>
      <c r="M452">
        <v>2327.0300000000002</v>
      </c>
      <c r="N452">
        <v>1</v>
      </c>
      <c r="O452">
        <v>6686.82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11557.73</v>
      </c>
      <c r="W452">
        <v>4445.28</v>
      </c>
      <c r="X452">
        <v>13558.1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1.22</v>
      </c>
      <c r="AE452">
        <v>1.68</v>
      </c>
      <c r="AF452">
        <v>0.56999999999999995</v>
      </c>
      <c r="AG452">
        <v>0.19</v>
      </c>
      <c r="AH452">
        <v>0</v>
      </c>
      <c r="AI452">
        <v>0</v>
      </c>
      <c r="AJ452">
        <v>0</v>
      </c>
      <c r="AK452">
        <v>0</v>
      </c>
      <c r="AL452">
        <v>11557.73</v>
      </c>
      <c r="AM452">
        <v>4445.28</v>
      </c>
      <c r="AN452">
        <v>13558.1</v>
      </c>
      <c r="AO452">
        <v>0</v>
      </c>
      <c r="AP452">
        <v>-1115.02</v>
      </c>
      <c r="AQ452">
        <v>-2118.24999999999</v>
      </c>
      <c r="AR452">
        <v>-13557.1</v>
      </c>
      <c r="AS452">
        <v>6686.82</v>
      </c>
      <c r="AT452">
        <v>0.453592</v>
      </c>
      <c r="AU452">
        <v>0.44043783199999997</v>
      </c>
      <c r="AV452">
        <v>4662.0344517199901</v>
      </c>
      <c r="AW452">
        <v>0</v>
      </c>
      <c r="AY452">
        <v>18737.876</v>
      </c>
      <c r="AZ452">
        <v>1.25604471328903</v>
      </c>
      <c r="BA452">
        <v>24072.195121951201</v>
      </c>
      <c r="BB452">
        <v>1.6136169019471001</v>
      </c>
      <c r="BC452">
        <v>21.9904955621301</v>
      </c>
    </row>
    <row r="453" spans="1:55" x14ac:dyDescent="0.2">
      <c r="A453" t="s">
        <v>941</v>
      </c>
      <c r="B453" t="s">
        <v>942</v>
      </c>
      <c r="C453">
        <v>92</v>
      </c>
      <c r="D453">
        <v>16</v>
      </c>
      <c r="E453">
        <v>35</v>
      </c>
      <c r="F453">
        <v>31</v>
      </c>
      <c r="G453">
        <v>20</v>
      </c>
      <c r="H453">
        <v>17</v>
      </c>
      <c r="I453">
        <v>211</v>
      </c>
      <c r="J453">
        <v>3373.97</v>
      </c>
      <c r="K453">
        <v>41760.83</v>
      </c>
      <c r="L453">
        <v>29232.58</v>
      </c>
      <c r="M453">
        <v>6769.24</v>
      </c>
      <c r="N453">
        <v>17545.900000000001</v>
      </c>
      <c r="O453">
        <v>47126.16</v>
      </c>
      <c r="P453">
        <v>12523500</v>
      </c>
      <c r="Q453">
        <v>30107.77</v>
      </c>
      <c r="R453">
        <v>4041.83</v>
      </c>
      <c r="S453">
        <v>76645.83</v>
      </c>
      <c r="T453">
        <v>345051.9</v>
      </c>
      <c r="U453">
        <v>68</v>
      </c>
      <c r="V453">
        <v>0</v>
      </c>
      <c r="W453">
        <v>0</v>
      </c>
      <c r="X453">
        <v>0</v>
      </c>
      <c r="Y453">
        <v>0</v>
      </c>
      <c r="Z453">
        <v>30107.77</v>
      </c>
      <c r="AA453">
        <v>4041.83</v>
      </c>
      <c r="AB453">
        <v>76645.83</v>
      </c>
      <c r="AC453">
        <v>345051.9</v>
      </c>
      <c r="AD453">
        <v>1.26</v>
      </c>
      <c r="AE453">
        <v>0.97</v>
      </c>
      <c r="AF453">
        <v>2.44</v>
      </c>
      <c r="AG453">
        <v>3.94</v>
      </c>
      <c r="AH453">
        <v>28530.07</v>
      </c>
      <c r="AI453">
        <v>14025.62</v>
      </c>
      <c r="AJ453">
        <v>61050.37</v>
      </c>
      <c r="AK453">
        <v>0</v>
      </c>
      <c r="AL453">
        <v>30107.77</v>
      </c>
      <c r="AM453">
        <v>4041.83</v>
      </c>
      <c r="AN453">
        <v>76645.83</v>
      </c>
      <c r="AO453">
        <v>345051.9</v>
      </c>
      <c r="AP453">
        <v>702.51000000000499</v>
      </c>
      <c r="AQ453">
        <v>-7256.38</v>
      </c>
      <c r="AR453">
        <v>-43504.469999999899</v>
      </c>
      <c r="AS453">
        <v>47126.16</v>
      </c>
      <c r="AT453">
        <v>30.844256000000001</v>
      </c>
      <c r="AU453">
        <v>29.949772576000001</v>
      </c>
      <c r="AV453">
        <v>1180620.0349459101</v>
      </c>
      <c r="AW453">
        <v>47406582.134999998</v>
      </c>
      <c r="AX453">
        <v>40.153970567822398</v>
      </c>
      <c r="AY453">
        <v>43591.6924</v>
      </c>
      <c r="AZ453">
        <v>1.04384161904828</v>
      </c>
      <c r="BA453">
        <v>49880.365853658499</v>
      </c>
      <c r="BB453">
        <v>1.1944294654502401</v>
      </c>
      <c r="BC453">
        <v>23.159680227691201</v>
      </c>
    </row>
    <row r="454" spans="1:55" x14ac:dyDescent="0.2">
      <c r="A454" t="s">
        <v>943</v>
      </c>
      <c r="B454" t="s">
        <v>944</v>
      </c>
      <c r="C454">
        <v>1410</v>
      </c>
      <c r="D454">
        <v>322</v>
      </c>
      <c r="E454">
        <v>523</v>
      </c>
      <c r="F454">
        <v>652</v>
      </c>
      <c r="G454">
        <v>210</v>
      </c>
      <c r="H454">
        <v>218</v>
      </c>
      <c r="I454">
        <v>3335</v>
      </c>
      <c r="J454">
        <v>54426.36</v>
      </c>
      <c r="K454">
        <v>675529.3</v>
      </c>
      <c r="L454">
        <v>472870.51</v>
      </c>
      <c r="M454">
        <v>110122.98</v>
      </c>
      <c r="N454">
        <v>274483.44</v>
      </c>
      <c r="O454">
        <v>739964.16</v>
      </c>
      <c r="P454">
        <v>30946500</v>
      </c>
      <c r="Q454">
        <v>125747.09</v>
      </c>
      <c r="R454">
        <v>16089.21</v>
      </c>
      <c r="S454">
        <v>188611.89</v>
      </c>
      <c r="T454">
        <v>1031953.88</v>
      </c>
      <c r="U454">
        <v>74</v>
      </c>
      <c r="V454">
        <v>75044.88</v>
      </c>
      <c r="W454">
        <v>6760.8</v>
      </c>
      <c r="X454">
        <v>6760.8</v>
      </c>
      <c r="Y454">
        <v>0</v>
      </c>
      <c r="Z454">
        <v>125747.09</v>
      </c>
      <c r="AA454">
        <v>16089.21</v>
      </c>
      <c r="AB454">
        <v>188611.89</v>
      </c>
      <c r="AC454">
        <v>1031953.88</v>
      </c>
      <c r="AD454">
        <v>1.1299999999999999</v>
      </c>
      <c r="AE454">
        <v>0.76</v>
      </c>
      <c r="AF454">
        <v>0.83</v>
      </c>
      <c r="AG454">
        <v>4.7300000000000004</v>
      </c>
      <c r="AH454">
        <v>0</v>
      </c>
      <c r="AI454">
        <v>0</v>
      </c>
      <c r="AJ454">
        <v>0</v>
      </c>
      <c r="AK454">
        <v>0</v>
      </c>
      <c r="AL454">
        <v>200791.97</v>
      </c>
      <c r="AM454">
        <v>22850.01</v>
      </c>
      <c r="AN454">
        <v>195372.69</v>
      </c>
      <c r="AO454">
        <v>1031953.88</v>
      </c>
      <c r="AP454">
        <v>397825.63</v>
      </c>
      <c r="AQ454">
        <v>103362.18</v>
      </c>
      <c r="AR454">
        <v>267722.64</v>
      </c>
      <c r="AS454">
        <v>739964.16</v>
      </c>
      <c r="AT454">
        <v>33.565807999999997</v>
      </c>
      <c r="AU454">
        <v>32.592399567999998</v>
      </c>
      <c r="AV454">
        <v>20604263.158898201</v>
      </c>
      <c r="AW454">
        <v>117145190.565</v>
      </c>
      <c r="AX454">
        <v>5.6854831284956298</v>
      </c>
      <c r="AY454">
        <v>703188.57120000001</v>
      </c>
      <c r="AZ454">
        <v>1.04094459144851</v>
      </c>
      <c r="BA454">
        <v>808136.70731707301</v>
      </c>
      <c r="BB454">
        <v>1.1963014887985901</v>
      </c>
      <c r="BC454">
        <v>23.475186046266899</v>
      </c>
    </row>
    <row r="455" spans="1:55" x14ac:dyDescent="0.2">
      <c r="A455" t="s">
        <v>945</v>
      </c>
      <c r="B455" t="s">
        <v>946</v>
      </c>
      <c r="C455">
        <v>320</v>
      </c>
      <c r="D455">
        <v>20</v>
      </c>
      <c r="E455">
        <v>160</v>
      </c>
      <c r="F455">
        <v>160</v>
      </c>
      <c r="G455">
        <v>110</v>
      </c>
      <c r="H455">
        <v>225</v>
      </c>
      <c r="I455">
        <v>995</v>
      </c>
      <c r="J455">
        <v>13113.99</v>
      </c>
      <c r="K455">
        <v>165293.10999999999</v>
      </c>
      <c r="L455">
        <v>115705.18</v>
      </c>
      <c r="M455">
        <v>26245.86</v>
      </c>
      <c r="N455">
        <v>64191.46</v>
      </c>
      <c r="O455">
        <v>155696.4</v>
      </c>
      <c r="P455">
        <v>4626953</v>
      </c>
      <c r="Q455">
        <v>27368.66</v>
      </c>
      <c r="R455">
        <v>1583.16</v>
      </c>
      <c r="S455">
        <v>41136.379999999997</v>
      </c>
      <c r="T455">
        <v>192372.12</v>
      </c>
      <c r="U455">
        <v>83</v>
      </c>
      <c r="V455">
        <v>18749.23</v>
      </c>
      <c r="W455">
        <v>5332.34</v>
      </c>
      <c r="X455">
        <v>29918.84</v>
      </c>
      <c r="Y455">
        <v>387077.7</v>
      </c>
      <c r="Z455">
        <v>27368.66</v>
      </c>
      <c r="AA455">
        <v>1583.16</v>
      </c>
      <c r="AB455">
        <v>41136.379999999997</v>
      </c>
      <c r="AC455">
        <v>192372.12</v>
      </c>
      <c r="AD455">
        <v>1.29</v>
      </c>
      <c r="AE455">
        <v>1.1399999999999999</v>
      </c>
      <c r="AF455">
        <v>1.52</v>
      </c>
      <c r="AG455">
        <v>3.36</v>
      </c>
      <c r="AH455">
        <v>51142.61</v>
      </c>
      <c r="AI455">
        <v>15754.58</v>
      </c>
      <c r="AJ455">
        <v>82149.45</v>
      </c>
      <c r="AK455">
        <v>1194548.08</v>
      </c>
      <c r="AL455">
        <v>46117.89</v>
      </c>
      <c r="AM455">
        <v>6915.5</v>
      </c>
      <c r="AN455">
        <v>71055.22</v>
      </c>
      <c r="AO455">
        <v>579449.81999999995</v>
      </c>
      <c r="AP455">
        <v>45813.34</v>
      </c>
      <c r="AQ455">
        <v>5158.9399999999996</v>
      </c>
      <c r="AR455">
        <v>-47876.83</v>
      </c>
      <c r="AS455">
        <v>-1425929.38</v>
      </c>
      <c r="AT455">
        <v>37.648136000000001</v>
      </c>
      <c r="AU455">
        <v>36.556340056000003</v>
      </c>
      <c r="AV455">
        <v>4536641.8009495996</v>
      </c>
      <c r="AW455">
        <v>17514914.155730002</v>
      </c>
      <c r="AX455">
        <v>3.8607663827600001</v>
      </c>
      <c r="AY455">
        <v>169432.75080000001</v>
      </c>
      <c r="AZ455">
        <v>1.0250442429209501</v>
      </c>
      <c r="BA455">
        <v>181743.292682926</v>
      </c>
      <c r="BB455">
        <v>1.0995212848431899</v>
      </c>
      <c r="BC455">
        <v>22.624598779717999</v>
      </c>
    </row>
    <row r="456" spans="1:55" x14ac:dyDescent="0.2">
      <c r="A456" t="s">
        <v>947</v>
      </c>
      <c r="B456" t="s">
        <v>948</v>
      </c>
      <c r="C456">
        <v>2300</v>
      </c>
      <c r="D456">
        <v>230</v>
      </c>
      <c r="E456">
        <v>1400</v>
      </c>
      <c r="F456">
        <v>1200</v>
      </c>
      <c r="G456">
        <v>450</v>
      </c>
      <c r="H456">
        <v>450</v>
      </c>
      <c r="I456">
        <v>6030</v>
      </c>
      <c r="J456">
        <v>99174.16</v>
      </c>
      <c r="K456">
        <v>1197582.76</v>
      </c>
      <c r="L456">
        <v>838307.93</v>
      </c>
      <c r="M456">
        <v>197901.92</v>
      </c>
      <c r="N456">
        <v>479558.99</v>
      </c>
      <c r="O456">
        <v>1138955.3999999999</v>
      </c>
      <c r="P456">
        <v>122164200</v>
      </c>
      <c r="Q456">
        <v>235557.91</v>
      </c>
      <c r="R456">
        <v>46400.89</v>
      </c>
      <c r="S456">
        <v>229255.67</v>
      </c>
      <c r="T456">
        <v>1467638.82</v>
      </c>
      <c r="U456">
        <v>95</v>
      </c>
      <c r="V456">
        <v>0</v>
      </c>
      <c r="W456">
        <v>0</v>
      </c>
      <c r="X456">
        <v>0</v>
      </c>
      <c r="Y456">
        <v>0</v>
      </c>
      <c r="Z456">
        <v>235557.91</v>
      </c>
      <c r="AA456">
        <v>46400.89</v>
      </c>
      <c r="AB456">
        <v>229255.67</v>
      </c>
      <c r="AC456">
        <v>1467638.82</v>
      </c>
      <c r="AD456">
        <v>1.86</v>
      </c>
      <c r="AE456">
        <v>0.91</v>
      </c>
      <c r="AF456">
        <v>0.82</v>
      </c>
      <c r="AG456">
        <v>0.74</v>
      </c>
      <c r="AH456">
        <v>0</v>
      </c>
      <c r="AI456">
        <v>0</v>
      </c>
      <c r="AJ456">
        <v>0</v>
      </c>
      <c r="AK456">
        <v>0</v>
      </c>
      <c r="AL456">
        <v>235557.91</v>
      </c>
      <c r="AM456">
        <v>46400.89</v>
      </c>
      <c r="AN456">
        <v>229255.67</v>
      </c>
      <c r="AO456">
        <v>1467638.82</v>
      </c>
      <c r="AP456">
        <v>838307.93</v>
      </c>
      <c r="AQ456">
        <v>197901.91999999899</v>
      </c>
      <c r="AR456">
        <v>479558.99</v>
      </c>
      <c r="AS456">
        <v>1138955.3999999899</v>
      </c>
      <c r="AT456">
        <v>43.091239999999999</v>
      </c>
      <c r="AU456">
        <v>41.841594039999997</v>
      </c>
      <c r="AV456">
        <v>38638620.016237997</v>
      </c>
      <c r="AW456">
        <v>462441584.32200003</v>
      </c>
      <c r="AX456">
        <v>11.968377341831999</v>
      </c>
      <c r="AY456">
        <v>1281330.1472</v>
      </c>
      <c r="AZ456">
        <v>1.0699303547088399</v>
      </c>
      <c r="BA456">
        <v>1310706.0975609701</v>
      </c>
      <c r="BB456">
        <v>1.09445972448783</v>
      </c>
      <c r="BC456">
        <v>26.026630992767</v>
      </c>
    </row>
    <row r="457" spans="1:55" x14ac:dyDescent="0.2">
      <c r="A457" t="s">
        <v>949</v>
      </c>
      <c r="B457" t="s">
        <v>950</v>
      </c>
      <c r="C457">
        <v>2500</v>
      </c>
      <c r="D457">
        <v>343</v>
      </c>
      <c r="E457">
        <v>920</v>
      </c>
      <c r="F457">
        <v>760</v>
      </c>
      <c r="G457">
        <v>305</v>
      </c>
      <c r="H457">
        <v>0</v>
      </c>
      <c r="I457">
        <v>4828</v>
      </c>
      <c r="J457">
        <v>80375.98</v>
      </c>
      <c r="K457">
        <v>1021313.47</v>
      </c>
      <c r="L457">
        <v>714919.43</v>
      </c>
      <c r="M457">
        <v>168169.41</v>
      </c>
      <c r="N457">
        <v>455379.77</v>
      </c>
      <c r="O457">
        <v>1259438.94</v>
      </c>
      <c r="P457">
        <v>30492000</v>
      </c>
      <c r="Q457">
        <v>118992.46</v>
      </c>
      <c r="R457">
        <v>9463.32</v>
      </c>
      <c r="S457">
        <v>170001.67</v>
      </c>
      <c r="T457">
        <v>1593782.18</v>
      </c>
      <c r="U457">
        <v>55</v>
      </c>
      <c r="V457">
        <v>69060.95</v>
      </c>
      <c r="W457">
        <v>13852.07</v>
      </c>
      <c r="X457">
        <v>25634.74</v>
      </c>
      <c r="Y457">
        <v>2398402.19</v>
      </c>
      <c r="Z457">
        <v>118992.46</v>
      </c>
      <c r="AA457">
        <v>9463.32</v>
      </c>
      <c r="AB457">
        <v>170001.67</v>
      </c>
      <c r="AC457">
        <v>1593782.18</v>
      </c>
      <c r="AD457">
        <v>1.2</v>
      </c>
      <c r="AE457">
        <v>1.33</v>
      </c>
      <c r="AF457">
        <v>1.18</v>
      </c>
      <c r="AG457">
        <v>5.1100000000000003</v>
      </c>
      <c r="AH457">
        <v>0</v>
      </c>
      <c r="AI457">
        <v>0</v>
      </c>
      <c r="AJ457">
        <v>0</v>
      </c>
      <c r="AK457">
        <v>0</v>
      </c>
      <c r="AL457">
        <v>188053.41</v>
      </c>
      <c r="AM457">
        <v>23315.39</v>
      </c>
      <c r="AN457">
        <v>195636.41</v>
      </c>
      <c r="AO457">
        <v>3992184.37</v>
      </c>
      <c r="AP457">
        <v>645858.48</v>
      </c>
      <c r="AQ457">
        <v>154317.34</v>
      </c>
      <c r="AR457">
        <v>429745.03</v>
      </c>
      <c r="AS457">
        <v>-1138963.25</v>
      </c>
      <c r="AT457">
        <v>24.947559999999999</v>
      </c>
      <c r="AU457">
        <v>24.22408076</v>
      </c>
      <c r="AV457">
        <v>25137207.484248199</v>
      </c>
      <c r="AW457">
        <v>115424721.72</v>
      </c>
      <c r="AX457">
        <v>4.5917877629139499</v>
      </c>
      <c r="AY457">
        <v>1038457.6616</v>
      </c>
      <c r="AZ457">
        <v>1.01678641485067</v>
      </c>
      <c r="BA457">
        <v>1275612.6829268199</v>
      </c>
      <c r="BB457">
        <v>1.2489923225303401</v>
      </c>
      <c r="BC457">
        <v>22.519203351145901</v>
      </c>
    </row>
    <row r="458" spans="1:55" x14ac:dyDescent="0.2">
      <c r="A458" t="s">
        <v>951</v>
      </c>
      <c r="B458" t="s">
        <v>952</v>
      </c>
      <c r="C458">
        <v>630</v>
      </c>
      <c r="D458">
        <v>150</v>
      </c>
      <c r="E458">
        <v>300</v>
      </c>
      <c r="F458">
        <v>150</v>
      </c>
      <c r="G458">
        <v>200</v>
      </c>
      <c r="H458">
        <v>70</v>
      </c>
      <c r="I458">
        <v>1500</v>
      </c>
      <c r="J458">
        <v>23662.09</v>
      </c>
      <c r="K458">
        <v>305668.71999999997</v>
      </c>
      <c r="L458">
        <v>213968.1</v>
      </c>
      <c r="M458">
        <v>49498.94</v>
      </c>
      <c r="N458">
        <v>125131.8</v>
      </c>
      <c r="O458">
        <v>332035.20000000001</v>
      </c>
      <c r="P458">
        <v>5790000</v>
      </c>
      <c r="Q458">
        <v>37276.11</v>
      </c>
      <c r="R458">
        <v>3782.34</v>
      </c>
      <c r="S458">
        <v>44788.87</v>
      </c>
      <c r="T458">
        <v>282269.63</v>
      </c>
      <c r="U458">
        <v>80</v>
      </c>
      <c r="V458">
        <v>24770.560000000001</v>
      </c>
      <c r="W458">
        <v>4317.8</v>
      </c>
      <c r="X458">
        <v>9067.39</v>
      </c>
      <c r="Y458">
        <v>1752119.09</v>
      </c>
      <c r="Z458">
        <v>37276.11</v>
      </c>
      <c r="AA458">
        <v>3782.34</v>
      </c>
      <c r="AB458">
        <v>44788.87</v>
      </c>
      <c r="AC458">
        <v>282269.63</v>
      </c>
      <c r="AD458">
        <v>1.2</v>
      </c>
      <c r="AE458">
        <v>0.55000000000000004</v>
      </c>
      <c r="AF458">
        <v>0.62</v>
      </c>
      <c r="AG458">
        <v>2.13</v>
      </c>
      <c r="AH458">
        <v>41701.870000000003</v>
      </c>
      <c r="AI458">
        <v>7269.13</v>
      </c>
      <c r="AJ458">
        <v>15265.18</v>
      </c>
      <c r="AK458">
        <v>2949738.06</v>
      </c>
      <c r="AL458">
        <v>62046.67</v>
      </c>
      <c r="AM458">
        <v>8100.14</v>
      </c>
      <c r="AN458">
        <v>53856.26</v>
      </c>
      <c r="AO458">
        <v>2034388.72</v>
      </c>
      <c r="AP458">
        <v>147495.67000000001</v>
      </c>
      <c r="AQ458">
        <v>37912.01</v>
      </c>
      <c r="AR458">
        <v>100799.23</v>
      </c>
      <c r="AS458">
        <v>-4369821.95</v>
      </c>
      <c r="AT458">
        <v>36.28736</v>
      </c>
      <c r="AU458">
        <v>35.235026560000001</v>
      </c>
      <c r="AV458">
        <v>10031412.061632</v>
      </c>
      <c r="AW458">
        <v>21917523.899999999</v>
      </c>
      <c r="AX458">
        <v>2.1848892025709699</v>
      </c>
      <c r="AY458">
        <v>305714.20280000003</v>
      </c>
      <c r="AZ458">
        <v>1.00014879769182</v>
      </c>
      <c r="BA458">
        <v>356809.75609756098</v>
      </c>
      <c r="BB458">
        <v>1.1673086997503701</v>
      </c>
      <c r="BC458">
        <v>22.677552360916302</v>
      </c>
    </row>
    <row r="459" spans="1:55" x14ac:dyDescent="0.2">
      <c r="A459" t="s">
        <v>953</v>
      </c>
      <c r="B459" t="s">
        <v>954</v>
      </c>
      <c r="C459">
        <v>553</v>
      </c>
      <c r="D459">
        <v>81</v>
      </c>
      <c r="E459">
        <v>400</v>
      </c>
      <c r="F459">
        <v>320</v>
      </c>
      <c r="G459">
        <v>140</v>
      </c>
      <c r="H459">
        <v>0</v>
      </c>
      <c r="I459">
        <v>1494</v>
      </c>
      <c r="J459">
        <v>23185.09</v>
      </c>
      <c r="K459">
        <v>279037.76</v>
      </c>
      <c r="L459">
        <v>195326.43</v>
      </c>
      <c r="M459">
        <v>46012.32</v>
      </c>
      <c r="N459">
        <v>107287.7</v>
      </c>
      <c r="O459">
        <v>279770.40000000002</v>
      </c>
      <c r="P459">
        <v>12975000</v>
      </c>
      <c r="Q459">
        <v>46451.07</v>
      </c>
      <c r="R459">
        <v>4720.01</v>
      </c>
      <c r="S459">
        <v>100097.94</v>
      </c>
      <c r="T459">
        <v>664889.54</v>
      </c>
      <c r="U459">
        <v>73</v>
      </c>
      <c r="V459">
        <v>17291.099999999999</v>
      </c>
      <c r="W459">
        <v>3006.31</v>
      </c>
      <c r="X459">
        <v>21022.62</v>
      </c>
      <c r="Y459">
        <v>163091.24</v>
      </c>
      <c r="Z459">
        <v>46451.07</v>
      </c>
      <c r="AA459">
        <v>4720.01</v>
      </c>
      <c r="AB459">
        <v>100097.94</v>
      </c>
      <c r="AC459">
        <v>664889.54</v>
      </c>
      <c r="AD459">
        <v>1.1299999999999999</v>
      </c>
      <c r="AE459">
        <v>0.9</v>
      </c>
      <c r="AF459">
        <v>1.42</v>
      </c>
      <c r="AG459">
        <v>2.77</v>
      </c>
      <c r="AH459">
        <v>19314.72</v>
      </c>
      <c r="AI459">
        <v>3150.58</v>
      </c>
      <c r="AJ459">
        <v>10281.6</v>
      </c>
      <c r="AK459">
        <v>103550.39999999999</v>
      </c>
      <c r="AL459">
        <v>63742.17</v>
      </c>
      <c r="AM459">
        <v>7726.32</v>
      </c>
      <c r="AN459">
        <v>121120.56</v>
      </c>
      <c r="AO459">
        <v>827980.78</v>
      </c>
      <c r="AP459">
        <v>158720.60999999999</v>
      </c>
      <c r="AQ459">
        <v>39855.43</v>
      </c>
      <c r="AR459">
        <v>75983.48</v>
      </c>
      <c r="AS459">
        <v>13128.76</v>
      </c>
      <c r="AT459">
        <v>33.112215999999997</v>
      </c>
      <c r="AU459">
        <v>32.151961735999997</v>
      </c>
      <c r="AV459">
        <v>7440285.46532775</v>
      </c>
      <c r="AW459">
        <v>49115694.75</v>
      </c>
      <c r="AX459">
        <v>6.6013185890356603</v>
      </c>
      <c r="AY459">
        <v>299551.3628</v>
      </c>
      <c r="AZ459">
        <v>1.07351550843871</v>
      </c>
      <c r="BA459">
        <v>333788.04878048698</v>
      </c>
      <c r="BB459">
        <v>1.1962110388948299</v>
      </c>
      <c r="BC459">
        <v>24.440496991823899</v>
      </c>
    </row>
    <row r="460" spans="1:55" x14ac:dyDescent="0.2">
      <c r="A460" t="s">
        <v>955</v>
      </c>
      <c r="B460" t="s">
        <v>956</v>
      </c>
      <c r="C460">
        <v>820</v>
      </c>
      <c r="D460">
        <v>108</v>
      </c>
      <c r="E460">
        <v>301</v>
      </c>
      <c r="F460">
        <v>294</v>
      </c>
      <c r="G460">
        <v>176</v>
      </c>
      <c r="H460">
        <v>218</v>
      </c>
      <c r="I460">
        <v>1917</v>
      </c>
      <c r="J460">
        <v>28330.11</v>
      </c>
      <c r="K460">
        <v>359720.85</v>
      </c>
      <c r="L460">
        <v>251804.6</v>
      </c>
      <c r="M460">
        <v>57983.8</v>
      </c>
      <c r="N460">
        <v>152065.65</v>
      </c>
      <c r="O460">
        <v>412057.44</v>
      </c>
      <c r="P460">
        <v>24399198</v>
      </c>
      <c r="Q460">
        <v>301344.73</v>
      </c>
      <c r="R460">
        <v>89996.2</v>
      </c>
      <c r="S460">
        <v>137437.63</v>
      </c>
      <c r="T460">
        <v>509028.27</v>
      </c>
      <c r="U460">
        <v>60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301344.73</v>
      </c>
      <c r="AI460">
        <v>89996.2</v>
      </c>
      <c r="AJ460">
        <v>137437.63</v>
      </c>
      <c r="AK460">
        <v>509028.27</v>
      </c>
      <c r="AL460">
        <v>0</v>
      </c>
      <c r="AM460">
        <v>0</v>
      </c>
      <c r="AN460">
        <v>0</v>
      </c>
      <c r="AO460">
        <v>0</v>
      </c>
      <c r="AP460">
        <v>251804.59999999899</v>
      </c>
      <c r="AQ460">
        <v>57983.8</v>
      </c>
      <c r="AR460">
        <v>152065.65</v>
      </c>
      <c r="AS460">
        <v>412057.43999999901</v>
      </c>
      <c r="AT460">
        <v>27.215519999999898</v>
      </c>
      <c r="AU460">
        <v>26.4262699199999</v>
      </c>
      <c r="AV460">
        <v>8951106.1473023891</v>
      </c>
      <c r="AW460">
        <v>92360968.101180002</v>
      </c>
      <c r="AX460">
        <v>10.3183859716617</v>
      </c>
      <c r="AY460">
        <v>366025.02120000002</v>
      </c>
      <c r="AZ460">
        <v>1.0175251759802</v>
      </c>
      <c r="BA460">
        <v>435712.07317073102</v>
      </c>
      <c r="BB460">
        <v>1.2112505382179799</v>
      </c>
      <c r="BC460">
        <v>21.964232551103301</v>
      </c>
    </row>
    <row r="461" spans="1:55" x14ac:dyDescent="0.2">
      <c r="A461" t="s">
        <v>957</v>
      </c>
      <c r="B461" t="s">
        <v>958</v>
      </c>
      <c r="C461">
        <v>1700</v>
      </c>
      <c r="D461">
        <v>350</v>
      </c>
      <c r="E461">
        <v>420</v>
      </c>
      <c r="F461">
        <v>460</v>
      </c>
      <c r="G461">
        <v>400</v>
      </c>
      <c r="H461">
        <v>420</v>
      </c>
      <c r="I461">
        <v>3750</v>
      </c>
      <c r="J461">
        <v>58393.63</v>
      </c>
      <c r="K461">
        <v>735358.53</v>
      </c>
      <c r="L461">
        <v>514750.97</v>
      </c>
      <c r="M461">
        <v>117574.46</v>
      </c>
      <c r="N461">
        <v>315258.05</v>
      </c>
      <c r="O461">
        <v>883341</v>
      </c>
      <c r="P461">
        <v>72720000</v>
      </c>
      <c r="Q461">
        <v>243829.88</v>
      </c>
      <c r="R461">
        <v>27186.41</v>
      </c>
      <c r="S461">
        <v>301819.46000000002</v>
      </c>
      <c r="T461">
        <v>3029595.5</v>
      </c>
      <c r="U461">
        <v>60</v>
      </c>
      <c r="V461">
        <v>96650.880000000005</v>
      </c>
      <c r="W461">
        <v>30448.51</v>
      </c>
      <c r="X461">
        <v>71495.28</v>
      </c>
      <c r="Y461">
        <v>2591917.84</v>
      </c>
      <c r="Z461">
        <v>243829.88</v>
      </c>
      <c r="AA461">
        <v>27186.41</v>
      </c>
      <c r="AB461">
        <v>301819.46000000002</v>
      </c>
      <c r="AC461">
        <v>3029595.5</v>
      </c>
      <c r="AD461">
        <v>0.98</v>
      </c>
      <c r="AE461">
        <v>1</v>
      </c>
      <c r="AF461">
        <v>0.85</v>
      </c>
      <c r="AG461">
        <v>4.1100000000000003</v>
      </c>
      <c r="AH461">
        <v>10543.46</v>
      </c>
      <c r="AI461">
        <v>4347.46</v>
      </c>
      <c r="AJ461">
        <v>10474.99</v>
      </c>
      <c r="AK461">
        <v>405306.88</v>
      </c>
      <c r="AL461">
        <v>340480.76</v>
      </c>
      <c r="AM461">
        <v>57634.92</v>
      </c>
      <c r="AN461">
        <v>373314.74</v>
      </c>
      <c r="AO461">
        <v>5621513.3399999999</v>
      </c>
      <c r="AP461">
        <v>407556.62999999902</v>
      </c>
      <c r="AQ461">
        <v>82778.489999999903</v>
      </c>
      <c r="AR461">
        <v>233287.78</v>
      </c>
      <c r="AS461">
        <v>-2113883.71999999</v>
      </c>
      <c r="AT461">
        <v>27.215519999999898</v>
      </c>
      <c r="AU461">
        <v>26.4262699199999</v>
      </c>
      <c r="AV461">
        <v>19773456.467639901</v>
      </c>
      <c r="AW461">
        <v>275275015.19999999</v>
      </c>
      <c r="AX461">
        <v>13.921441385348899</v>
      </c>
      <c r="AY461">
        <v>754445.699599999</v>
      </c>
      <c r="AZ461">
        <v>1.02595627686538</v>
      </c>
      <c r="BA461">
        <v>902262.19512195105</v>
      </c>
      <c r="BB461">
        <v>1.2269691018909501</v>
      </c>
      <c r="BC461">
        <v>21.854302418986698</v>
      </c>
    </row>
    <row r="462" spans="1:55" x14ac:dyDescent="0.2">
      <c r="A462" t="s">
        <v>959</v>
      </c>
      <c r="B462" t="s">
        <v>960</v>
      </c>
      <c r="C462">
        <v>1000</v>
      </c>
      <c r="D462">
        <v>100</v>
      </c>
      <c r="E462">
        <v>675</v>
      </c>
      <c r="F462">
        <v>225</v>
      </c>
      <c r="G462">
        <v>0</v>
      </c>
      <c r="H462">
        <v>0</v>
      </c>
      <c r="I462">
        <v>2000</v>
      </c>
      <c r="J462">
        <v>36872.07</v>
      </c>
      <c r="K462">
        <v>446397.61</v>
      </c>
      <c r="L462">
        <v>312478.33</v>
      </c>
      <c r="M462">
        <v>74974.259999999995</v>
      </c>
      <c r="N462">
        <v>194669.11</v>
      </c>
      <c r="O462">
        <v>495198</v>
      </c>
      <c r="P462">
        <v>15945000</v>
      </c>
      <c r="Q462">
        <v>88270.66</v>
      </c>
      <c r="R462">
        <v>6467.34</v>
      </c>
      <c r="S462">
        <v>119342.85</v>
      </c>
      <c r="T462">
        <v>742202.63</v>
      </c>
      <c r="U462">
        <v>74</v>
      </c>
      <c r="V462">
        <v>0</v>
      </c>
      <c r="W462">
        <v>0</v>
      </c>
      <c r="X462">
        <v>0</v>
      </c>
      <c r="Y462">
        <v>0</v>
      </c>
      <c r="Z462">
        <v>74829.36</v>
      </c>
      <c r="AA462">
        <v>5838.11</v>
      </c>
      <c r="AB462">
        <v>106462.84</v>
      </c>
      <c r="AC462">
        <v>659486.99</v>
      </c>
      <c r="AD462">
        <v>1.23</v>
      </c>
      <c r="AE462">
        <v>0.55000000000000004</v>
      </c>
      <c r="AF462">
        <v>1.31</v>
      </c>
      <c r="AG462">
        <v>2.25</v>
      </c>
      <c r="AH462">
        <v>201823.72</v>
      </c>
      <c r="AI462">
        <v>74788.600000000006</v>
      </c>
      <c r="AJ462">
        <v>257460.33</v>
      </c>
      <c r="AK462">
        <v>5194128.76</v>
      </c>
      <c r="AL462">
        <v>74829.36</v>
      </c>
      <c r="AM462">
        <v>5838.11</v>
      </c>
      <c r="AN462">
        <v>106462.84</v>
      </c>
      <c r="AO462">
        <v>659486.99</v>
      </c>
      <c r="AP462">
        <v>124095.91</v>
      </c>
      <c r="AQ462">
        <v>814.88999999998396</v>
      </c>
      <c r="AR462">
        <v>-49911.21</v>
      </c>
      <c r="AS462">
        <v>-4616215.12</v>
      </c>
      <c r="AT462">
        <v>33.565807999999997</v>
      </c>
      <c r="AU462">
        <v>32.592399567999998</v>
      </c>
      <c r="AV462">
        <v>13085848.426552</v>
      </c>
      <c r="AW462">
        <v>60358362.450000003</v>
      </c>
      <c r="AX462">
        <v>4.6124913328148498</v>
      </c>
      <c r="AY462">
        <v>476387.14439999999</v>
      </c>
      <c r="AZ462">
        <v>1.0671812163151999</v>
      </c>
      <c r="BA462">
        <v>521682.92682926799</v>
      </c>
      <c r="BB462">
        <v>1.16865080623811</v>
      </c>
      <c r="BC462">
        <v>25.797864675767901</v>
      </c>
    </row>
    <row r="463" spans="1:55" x14ac:dyDescent="0.2">
      <c r="A463" t="s">
        <v>961</v>
      </c>
      <c r="B463" t="s">
        <v>962</v>
      </c>
      <c r="C463">
        <v>1100</v>
      </c>
      <c r="D463">
        <v>138</v>
      </c>
      <c r="E463">
        <v>310</v>
      </c>
      <c r="F463">
        <v>280</v>
      </c>
      <c r="G463">
        <v>230</v>
      </c>
      <c r="H463">
        <v>0</v>
      </c>
      <c r="I463">
        <v>2058</v>
      </c>
      <c r="J463">
        <v>37069.360000000001</v>
      </c>
      <c r="K463">
        <v>463112.44</v>
      </c>
      <c r="L463">
        <v>324178.71000000002</v>
      </c>
      <c r="M463">
        <v>76295</v>
      </c>
      <c r="N463">
        <v>211237.3</v>
      </c>
      <c r="O463">
        <v>551174.04</v>
      </c>
      <c r="P463">
        <v>33336000</v>
      </c>
      <c r="Q463">
        <v>80437.460000000006</v>
      </c>
      <c r="R463">
        <v>11933.1</v>
      </c>
      <c r="S463">
        <v>105003.82</v>
      </c>
      <c r="T463">
        <v>833797.68</v>
      </c>
      <c r="U463">
        <v>70</v>
      </c>
      <c r="V463">
        <v>139714.48000000001</v>
      </c>
      <c r="W463">
        <v>46090.01</v>
      </c>
      <c r="X463">
        <v>154428.34</v>
      </c>
      <c r="Y463">
        <v>0</v>
      </c>
      <c r="Z463">
        <v>80437.460000000006</v>
      </c>
      <c r="AA463">
        <v>11933.1</v>
      </c>
      <c r="AB463">
        <v>105003.82</v>
      </c>
      <c r="AC463">
        <v>833797.68</v>
      </c>
      <c r="AD463">
        <v>0.68</v>
      </c>
      <c r="AE463">
        <v>1.21</v>
      </c>
      <c r="AF463">
        <v>0.66</v>
      </c>
      <c r="AG463">
        <v>1.17</v>
      </c>
      <c r="AH463">
        <v>0</v>
      </c>
      <c r="AI463">
        <v>0</v>
      </c>
      <c r="AJ463">
        <v>0</v>
      </c>
      <c r="AK463">
        <v>0</v>
      </c>
      <c r="AL463">
        <v>220151.94</v>
      </c>
      <c r="AM463">
        <v>58023.11</v>
      </c>
      <c r="AN463">
        <v>259432.16</v>
      </c>
      <c r="AO463">
        <v>833797.68</v>
      </c>
      <c r="AP463">
        <v>184464.23</v>
      </c>
      <c r="AQ463">
        <v>30204.99</v>
      </c>
      <c r="AR463">
        <v>56808.959999999897</v>
      </c>
      <c r="AS463">
        <v>551174.04</v>
      </c>
      <c r="AT463">
        <v>31.751439999999999</v>
      </c>
      <c r="AU463">
        <v>30.830648239999999</v>
      </c>
      <c r="AV463">
        <v>13931445.0202088</v>
      </c>
      <c r="AW463">
        <v>126190427.76000001</v>
      </c>
      <c r="AX463">
        <v>9.0579568434537503</v>
      </c>
      <c r="AY463">
        <v>478936.1312</v>
      </c>
      <c r="AZ463">
        <v>1.0341681411106101</v>
      </c>
      <c r="BA463">
        <v>540894.39024390199</v>
      </c>
      <c r="BB463">
        <v>1.1679547848982399</v>
      </c>
      <c r="BC463">
        <v>24.1023146944083</v>
      </c>
    </row>
    <row r="464" spans="1:55" x14ac:dyDescent="0.2">
      <c r="A464" t="s">
        <v>963</v>
      </c>
      <c r="B464" t="s">
        <v>964</v>
      </c>
      <c r="C464">
        <v>1400</v>
      </c>
      <c r="D464">
        <v>120</v>
      </c>
      <c r="E464">
        <v>375</v>
      </c>
      <c r="F464">
        <v>295</v>
      </c>
      <c r="G464">
        <v>210</v>
      </c>
      <c r="H464">
        <v>200</v>
      </c>
      <c r="I464">
        <v>2600</v>
      </c>
      <c r="J464">
        <v>46754.48</v>
      </c>
      <c r="K464">
        <v>588314.78</v>
      </c>
      <c r="L464">
        <v>411820.35</v>
      </c>
      <c r="M464">
        <v>96861.17</v>
      </c>
      <c r="N464">
        <v>273459.07</v>
      </c>
      <c r="O464">
        <v>688665.59999999998</v>
      </c>
      <c r="P464">
        <v>34705000</v>
      </c>
      <c r="Q464">
        <v>119753.17</v>
      </c>
      <c r="R464">
        <v>16567.2</v>
      </c>
      <c r="S464">
        <v>336453.58</v>
      </c>
      <c r="T464">
        <v>2187204.4700000002</v>
      </c>
      <c r="U464">
        <v>75</v>
      </c>
      <c r="V464">
        <v>267630.03000000003</v>
      </c>
      <c r="W464">
        <v>32267.19</v>
      </c>
      <c r="X464">
        <v>151696.70000000001</v>
      </c>
      <c r="Y464">
        <v>5094850</v>
      </c>
      <c r="Z464">
        <v>119753.17</v>
      </c>
      <c r="AA464">
        <v>16567.2</v>
      </c>
      <c r="AB464">
        <v>336453.58</v>
      </c>
      <c r="AC464">
        <v>2187204.4700000002</v>
      </c>
      <c r="AD464">
        <v>1.02</v>
      </c>
      <c r="AE464">
        <v>0.88</v>
      </c>
      <c r="AF464">
        <v>1.1100000000000001</v>
      </c>
      <c r="AG464">
        <v>4.5599999999999996</v>
      </c>
      <c r="AH464">
        <v>51148</v>
      </c>
      <c r="AI464">
        <v>8210.6</v>
      </c>
      <c r="AJ464">
        <v>79144.800000000003</v>
      </c>
      <c r="AK464">
        <v>475138</v>
      </c>
      <c r="AL464">
        <v>387383.2</v>
      </c>
      <c r="AM464">
        <v>48834.39</v>
      </c>
      <c r="AN464">
        <v>488150.28</v>
      </c>
      <c r="AO464">
        <v>7282054.4699999997</v>
      </c>
      <c r="AP464">
        <v>93042.32</v>
      </c>
      <c r="AQ464">
        <v>56383.38</v>
      </c>
      <c r="AR464">
        <v>42617.569999999898</v>
      </c>
      <c r="AS464">
        <v>-4881322.4000000004</v>
      </c>
      <c r="AT464">
        <v>34.019399999999997</v>
      </c>
      <c r="AU464">
        <v>33.032837399999998</v>
      </c>
      <c r="AV464">
        <v>18326618.189520001</v>
      </c>
      <c r="AW464">
        <v>131372654.05</v>
      </c>
      <c r="AX464">
        <v>7.1684067781324101</v>
      </c>
      <c r="AY464">
        <v>604067.88159999996</v>
      </c>
      <c r="AZ464">
        <v>1.0267766544977801</v>
      </c>
      <c r="BA464">
        <v>662519.51219512196</v>
      </c>
      <c r="BB464">
        <v>1.12613100115404</v>
      </c>
      <c r="BC464">
        <v>24.413317371370301</v>
      </c>
    </row>
    <row r="465" spans="1:55" x14ac:dyDescent="0.2">
      <c r="A465" t="s">
        <v>965</v>
      </c>
      <c r="B465" t="s">
        <v>966</v>
      </c>
      <c r="C465">
        <v>600</v>
      </c>
      <c r="D465">
        <v>100</v>
      </c>
      <c r="E465">
        <v>75</v>
      </c>
      <c r="F465">
        <v>0</v>
      </c>
      <c r="G465">
        <v>0</v>
      </c>
      <c r="H465">
        <v>0</v>
      </c>
      <c r="I465">
        <v>775</v>
      </c>
      <c r="J465">
        <v>17702.72</v>
      </c>
      <c r="K465">
        <v>228139.57</v>
      </c>
      <c r="L465">
        <v>159697.70000000001</v>
      </c>
      <c r="M465">
        <v>37953.18</v>
      </c>
      <c r="N465">
        <v>115615.63</v>
      </c>
      <c r="O465">
        <v>306342</v>
      </c>
      <c r="P465">
        <v>6716000</v>
      </c>
      <c r="Q465">
        <v>52592.99</v>
      </c>
      <c r="R465">
        <v>4637.3900000000003</v>
      </c>
      <c r="S465">
        <v>86799.02</v>
      </c>
      <c r="T465">
        <v>453404.38</v>
      </c>
      <c r="U465">
        <v>71</v>
      </c>
      <c r="V465">
        <v>0</v>
      </c>
      <c r="W465">
        <v>0</v>
      </c>
      <c r="X465">
        <v>0</v>
      </c>
      <c r="Y465">
        <v>0</v>
      </c>
      <c r="Z465">
        <v>41525.85</v>
      </c>
      <c r="AA465">
        <v>3787.54</v>
      </c>
      <c r="AB465">
        <v>79156.66</v>
      </c>
      <c r="AC465">
        <v>418205.17</v>
      </c>
      <c r="AD465">
        <v>1.39</v>
      </c>
      <c r="AE465">
        <v>0.7</v>
      </c>
      <c r="AF465">
        <v>1.89</v>
      </c>
      <c r="AG465">
        <v>2.93</v>
      </c>
      <c r="AH465">
        <v>107657.56</v>
      </c>
      <c r="AI465">
        <v>32956.92</v>
      </c>
      <c r="AJ465">
        <v>82693.45</v>
      </c>
      <c r="AK465">
        <v>620799.68999999994</v>
      </c>
      <c r="AL465">
        <v>41525.85</v>
      </c>
      <c r="AM465">
        <v>3787.54</v>
      </c>
      <c r="AN465">
        <v>79156.66</v>
      </c>
      <c r="AO465">
        <v>418205.17</v>
      </c>
      <c r="AP465">
        <v>63107.28</v>
      </c>
      <c r="AQ465">
        <v>5846.11</v>
      </c>
      <c r="AR465">
        <v>40564.54</v>
      </c>
      <c r="AS465">
        <v>-279258.47999999899</v>
      </c>
      <c r="AT465">
        <v>32.205032000000003</v>
      </c>
      <c r="AU465">
        <v>31.271086071999999</v>
      </c>
      <c r="AV465">
        <v>7989762.4913959997</v>
      </c>
      <c r="AW465">
        <v>25422813.559999999</v>
      </c>
      <c r="AX465">
        <v>3.1819235662358198</v>
      </c>
      <c r="AY465">
        <v>228719.14240000001</v>
      </c>
      <c r="AZ465">
        <v>1.00254042908908</v>
      </c>
      <c r="BA465">
        <v>265515.24390243902</v>
      </c>
      <c r="BB465">
        <v>1.1638281070769001</v>
      </c>
      <c r="BC465">
        <v>24.335675440067</v>
      </c>
    </row>
    <row r="466" spans="1:55" x14ac:dyDescent="0.2">
      <c r="A466" t="s">
        <v>967</v>
      </c>
      <c r="B466" t="s">
        <v>968</v>
      </c>
      <c r="C466">
        <v>1650</v>
      </c>
      <c r="D466">
        <v>300</v>
      </c>
      <c r="E466">
        <v>0</v>
      </c>
      <c r="F466">
        <v>0</v>
      </c>
      <c r="G466">
        <v>0</v>
      </c>
      <c r="H466">
        <v>0</v>
      </c>
      <c r="I466">
        <v>1950</v>
      </c>
      <c r="J466">
        <v>48654.75</v>
      </c>
      <c r="K466">
        <v>632642.43000000005</v>
      </c>
      <c r="L466">
        <v>442849.7</v>
      </c>
      <c r="M466">
        <v>105388.23</v>
      </c>
      <c r="N466">
        <v>326639.13</v>
      </c>
      <c r="O466">
        <v>848205</v>
      </c>
      <c r="P466">
        <v>16926591</v>
      </c>
      <c r="Q466">
        <v>110635.28</v>
      </c>
      <c r="R466">
        <v>14178.07</v>
      </c>
      <c r="S466">
        <v>155553.04999999999</v>
      </c>
      <c r="T466">
        <v>864620.28</v>
      </c>
      <c r="U466">
        <v>79</v>
      </c>
      <c r="V466">
        <v>58964.639999999999</v>
      </c>
      <c r="W466">
        <v>16920.29</v>
      </c>
      <c r="X466">
        <v>104598.14</v>
      </c>
      <c r="Y466">
        <v>0</v>
      </c>
      <c r="Z466">
        <v>110635.28</v>
      </c>
      <c r="AA466">
        <v>14178.07</v>
      </c>
      <c r="AB466">
        <v>155553.04999999999</v>
      </c>
      <c r="AC466">
        <v>864620.28</v>
      </c>
      <c r="AD466">
        <v>0.95</v>
      </c>
      <c r="AE466">
        <v>1.02</v>
      </c>
      <c r="AF466">
        <v>1.28</v>
      </c>
      <c r="AG466">
        <v>1.36</v>
      </c>
      <c r="AH466">
        <v>134764.79999999999</v>
      </c>
      <c r="AI466">
        <v>32589.599999999999</v>
      </c>
      <c r="AJ466">
        <v>184087.2</v>
      </c>
      <c r="AK466">
        <v>2619624</v>
      </c>
      <c r="AL466">
        <v>169599.91999999899</v>
      </c>
      <c r="AM466">
        <v>31098.36</v>
      </c>
      <c r="AN466">
        <v>260151.19</v>
      </c>
      <c r="AO466">
        <v>864620.28</v>
      </c>
      <c r="AP466">
        <v>249120.26</v>
      </c>
      <c r="AQ466">
        <v>55878.339999999902</v>
      </c>
      <c r="AR466">
        <v>37953.789999999899</v>
      </c>
      <c r="AS466">
        <v>-1771419</v>
      </c>
      <c r="AT466">
        <v>35.833767999999999</v>
      </c>
      <c r="AU466">
        <v>34.794588728000001</v>
      </c>
      <c r="AV466">
        <v>24765048.527153999</v>
      </c>
      <c r="AW466">
        <v>64074086.837310001</v>
      </c>
      <c r="AX466">
        <v>2.5872788727651801</v>
      </c>
      <c r="AY466">
        <v>628619.37</v>
      </c>
      <c r="AZ466">
        <v>0.99364086281724695</v>
      </c>
      <c r="BA466">
        <v>711750</v>
      </c>
      <c r="BB466">
        <v>1.1250430989903699</v>
      </c>
      <c r="BC466">
        <v>24.951153846153801</v>
      </c>
    </row>
    <row r="467" spans="1:55" x14ac:dyDescent="0.2">
      <c r="A467" t="s">
        <v>969</v>
      </c>
      <c r="B467" t="s">
        <v>970</v>
      </c>
      <c r="C467">
        <v>345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345</v>
      </c>
      <c r="J467">
        <v>8996.56</v>
      </c>
      <c r="K467">
        <v>117615.65</v>
      </c>
      <c r="L467">
        <v>82330.960000000006</v>
      </c>
      <c r="M467">
        <v>19934.84</v>
      </c>
      <c r="N467">
        <v>66933.56</v>
      </c>
      <c r="O467">
        <v>162888.29999999999</v>
      </c>
      <c r="P467">
        <v>7782750</v>
      </c>
      <c r="Q467">
        <v>54031.21</v>
      </c>
      <c r="R467">
        <v>2840.17</v>
      </c>
      <c r="S467">
        <v>96925.73</v>
      </c>
      <c r="T467">
        <v>399936.38</v>
      </c>
      <c r="U467">
        <v>73</v>
      </c>
      <c r="V467">
        <v>36821.550000000003</v>
      </c>
      <c r="W467">
        <v>15203.58</v>
      </c>
      <c r="X467">
        <v>40065.22</v>
      </c>
      <c r="Y467">
        <v>1892403.66</v>
      </c>
      <c r="Z467">
        <v>54031.21</v>
      </c>
      <c r="AA467">
        <v>2840.17</v>
      </c>
      <c r="AB467">
        <v>96925.73</v>
      </c>
      <c r="AC467">
        <v>399936.38</v>
      </c>
      <c r="AD467">
        <v>1.21</v>
      </c>
      <c r="AE467">
        <v>0.9</v>
      </c>
      <c r="AF467">
        <v>0.99</v>
      </c>
      <c r="AG467">
        <v>6.16</v>
      </c>
      <c r="AH467">
        <v>0</v>
      </c>
      <c r="AI467">
        <v>0</v>
      </c>
      <c r="AJ467">
        <v>0</v>
      </c>
      <c r="AK467">
        <v>0</v>
      </c>
      <c r="AL467">
        <v>90852.76</v>
      </c>
      <c r="AM467">
        <v>18043.75</v>
      </c>
      <c r="AN467">
        <v>136990.95000000001</v>
      </c>
      <c r="AO467">
        <v>2292340.04</v>
      </c>
      <c r="AP467">
        <v>45509.41</v>
      </c>
      <c r="AQ467">
        <v>4731.26</v>
      </c>
      <c r="AR467">
        <v>26868.339999999898</v>
      </c>
      <c r="AS467">
        <v>-1729515.36</v>
      </c>
      <c r="AT467">
        <v>33.112215999999997</v>
      </c>
      <c r="AU467">
        <v>32.151961735999997</v>
      </c>
      <c r="AV467">
        <v>4048735.7816058001</v>
      </c>
      <c r="AW467">
        <v>29460899.677499998</v>
      </c>
      <c r="AX467">
        <v>7.27656761682168</v>
      </c>
      <c r="AY467">
        <v>116235.555199999</v>
      </c>
      <c r="AZ467">
        <v>0.98826606153177698</v>
      </c>
      <c r="BA467">
        <v>125925</v>
      </c>
      <c r="BB467">
        <v>1.07064833633959</v>
      </c>
      <c r="BC467">
        <v>26.076985507246299</v>
      </c>
    </row>
    <row r="468" spans="1:55" x14ac:dyDescent="0.2">
      <c r="A468" t="s">
        <v>971</v>
      </c>
      <c r="B468" t="s">
        <v>972</v>
      </c>
      <c r="C468">
        <v>0</v>
      </c>
      <c r="D468">
        <v>0</v>
      </c>
      <c r="E468">
        <v>50</v>
      </c>
      <c r="F468">
        <v>0</v>
      </c>
      <c r="G468">
        <v>0</v>
      </c>
      <c r="H468">
        <v>0</v>
      </c>
      <c r="I468">
        <v>50</v>
      </c>
      <c r="J468">
        <v>515.87</v>
      </c>
      <c r="K468">
        <v>4758</v>
      </c>
      <c r="L468">
        <v>3330.6</v>
      </c>
      <c r="M468">
        <v>805.2</v>
      </c>
      <c r="N468">
        <v>1</v>
      </c>
      <c r="O468">
        <v>0</v>
      </c>
      <c r="P468">
        <v>2458500</v>
      </c>
      <c r="Q468">
        <v>10274.89</v>
      </c>
      <c r="R468">
        <v>1104.8399999999999</v>
      </c>
      <c r="S468">
        <v>20558.59</v>
      </c>
      <c r="T468">
        <v>108000.49</v>
      </c>
      <c r="U468">
        <v>1</v>
      </c>
      <c r="V468">
        <v>1267.24</v>
      </c>
      <c r="W468">
        <v>351.93</v>
      </c>
      <c r="X468">
        <v>2794.04</v>
      </c>
      <c r="Y468">
        <v>23741.74</v>
      </c>
      <c r="Z468">
        <v>10274.89</v>
      </c>
      <c r="AA468">
        <v>1104.8399999999999</v>
      </c>
      <c r="AB468">
        <v>20558.59</v>
      </c>
      <c r="AC468">
        <v>108000.49</v>
      </c>
      <c r="AD468">
        <v>1.23</v>
      </c>
      <c r="AE468">
        <v>0.56999999999999995</v>
      </c>
      <c r="AF468">
        <v>0.91</v>
      </c>
      <c r="AG468">
        <v>2.84</v>
      </c>
      <c r="AH468">
        <v>0</v>
      </c>
      <c r="AI468">
        <v>0</v>
      </c>
      <c r="AJ468">
        <v>0</v>
      </c>
      <c r="AK468">
        <v>0</v>
      </c>
      <c r="AL468">
        <v>11542.13</v>
      </c>
      <c r="AM468">
        <v>1456.77</v>
      </c>
      <c r="AN468">
        <v>23352.63</v>
      </c>
      <c r="AO468">
        <v>131742.23000000001</v>
      </c>
      <c r="AP468">
        <v>2063.36</v>
      </c>
      <c r="AQ468">
        <v>453.27</v>
      </c>
      <c r="AR468">
        <v>-2793.04</v>
      </c>
      <c r="AS468">
        <v>-23741.74</v>
      </c>
      <c r="AT468">
        <v>0.453592</v>
      </c>
      <c r="AU468">
        <v>0.44043783199999997</v>
      </c>
      <c r="AV468">
        <v>0</v>
      </c>
      <c r="AW468">
        <v>9306430.4849999994</v>
      </c>
      <c r="AY468">
        <v>6665.0403999999999</v>
      </c>
      <c r="AZ468">
        <v>1.4008071458596001</v>
      </c>
      <c r="BA468">
        <v>6676.8292682926804</v>
      </c>
      <c r="BB468">
        <v>1.40328483991019</v>
      </c>
      <c r="BC468">
        <v>28.200893333333301</v>
      </c>
    </row>
    <row r="469" spans="1:55" x14ac:dyDescent="0.2">
      <c r="A469" t="s">
        <v>973</v>
      </c>
      <c r="B469" t="s">
        <v>974</v>
      </c>
      <c r="C469">
        <v>0</v>
      </c>
      <c r="D469">
        <v>50</v>
      </c>
      <c r="E469">
        <v>135</v>
      </c>
      <c r="F469">
        <v>45</v>
      </c>
      <c r="G469">
        <v>0</v>
      </c>
      <c r="H469">
        <v>0</v>
      </c>
      <c r="I469">
        <v>230</v>
      </c>
      <c r="J469">
        <v>2512.91</v>
      </c>
      <c r="K469">
        <v>26278.799999999999</v>
      </c>
      <c r="L469">
        <v>18395.16</v>
      </c>
      <c r="M469">
        <v>4106.5200000000004</v>
      </c>
      <c r="N469">
        <v>1</v>
      </c>
      <c r="O469">
        <v>11529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0.16</v>
      </c>
      <c r="AE469">
        <v>0.42</v>
      </c>
      <c r="AF469">
        <v>0.04</v>
      </c>
      <c r="AG469">
        <v>0.48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18395.16</v>
      </c>
      <c r="AQ469">
        <v>4106.5200000000004</v>
      </c>
      <c r="AR469">
        <v>1</v>
      </c>
      <c r="AS469">
        <v>11529</v>
      </c>
      <c r="AT469">
        <v>0.453592</v>
      </c>
      <c r="AU469">
        <v>0.44043783199999997</v>
      </c>
      <c r="AV469">
        <v>8037.9904340000003</v>
      </c>
      <c r="AW469">
        <v>0</v>
      </c>
      <c r="AY469">
        <v>32466.797199999899</v>
      </c>
      <c r="AZ469">
        <v>1.2354748770872299</v>
      </c>
      <c r="BA469">
        <v>42286.5853658536</v>
      </c>
      <c r="BB469">
        <v>1.6091520680492799</v>
      </c>
      <c r="BC469">
        <v>21.690381052631501</v>
      </c>
    </row>
    <row r="470" spans="1:55" x14ac:dyDescent="0.2">
      <c r="A470" t="s">
        <v>975</v>
      </c>
      <c r="B470" t="s">
        <v>976</v>
      </c>
      <c r="C470">
        <v>900</v>
      </c>
      <c r="D470">
        <v>125</v>
      </c>
      <c r="E470">
        <v>0</v>
      </c>
      <c r="F470">
        <v>0</v>
      </c>
      <c r="G470">
        <v>75</v>
      </c>
      <c r="H470">
        <v>0</v>
      </c>
      <c r="I470">
        <v>1100</v>
      </c>
      <c r="J470">
        <v>25479.98</v>
      </c>
      <c r="K470">
        <v>332156.65000000002</v>
      </c>
      <c r="L470">
        <v>232509.66</v>
      </c>
      <c r="M470">
        <v>55040.56</v>
      </c>
      <c r="N470">
        <v>174016.36</v>
      </c>
      <c r="O470">
        <v>453748.5</v>
      </c>
      <c r="P470">
        <v>15568800</v>
      </c>
      <c r="Q470">
        <v>22822.47</v>
      </c>
      <c r="R470">
        <v>4216.2</v>
      </c>
      <c r="S470">
        <v>24714.53</v>
      </c>
      <c r="T470">
        <v>212092.51</v>
      </c>
      <c r="U470">
        <v>72</v>
      </c>
      <c r="V470">
        <v>0</v>
      </c>
      <c r="W470">
        <v>0</v>
      </c>
      <c r="X470">
        <v>0</v>
      </c>
      <c r="Y470">
        <v>0</v>
      </c>
      <c r="Z470">
        <v>22822.47</v>
      </c>
      <c r="AA470">
        <v>4216.2</v>
      </c>
      <c r="AB470">
        <v>24714.53</v>
      </c>
      <c r="AC470">
        <v>212092.51</v>
      </c>
      <c r="AD470">
        <v>1.23</v>
      </c>
      <c r="AE470">
        <v>1.26</v>
      </c>
      <c r="AF470">
        <v>1.04</v>
      </c>
      <c r="AG470">
        <v>1.1100000000000001</v>
      </c>
      <c r="AH470">
        <v>0</v>
      </c>
      <c r="AI470">
        <v>0</v>
      </c>
      <c r="AJ470">
        <v>0</v>
      </c>
      <c r="AK470">
        <v>0</v>
      </c>
      <c r="AL470">
        <v>22822.47</v>
      </c>
      <c r="AM470">
        <v>4216.2</v>
      </c>
      <c r="AN470">
        <v>24714.53</v>
      </c>
      <c r="AO470">
        <v>212092.51</v>
      </c>
      <c r="AP470">
        <v>232509.66</v>
      </c>
      <c r="AQ470">
        <v>55040.56</v>
      </c>
      <c r="AR470">
        <v>174016.36</v>
      </c>
      <c r="AS470">
        <v>453748.5</v>
      </c>
      <c r="AT470">
        <v>32.658624000000003</v>
      </c>
      <c r="AU470">
        <v>31.711523904</v>
      </c>
      <c r="AV470">
        <v>11864073.880584</v>
      </c>
      <c r="AW470">
        <v>58934291.207999997</v>
      </c>
      <c r="AX470">
        <v>4.9674582104927802</v>
      </c>
      <c r="AY470">
        <v>329201.34159999999</v>
      </c>
      <c r="AZ470">
        <v>0.99110266676882697</v>
      </c>
      <c r="BA470">
        <v>377463.41463414597</v>
      </c>
      <c r="BB470">
        <v>1.13640179907325</v>
      </c>
      <c r="BC470">
        <v>24.210409733487801</v>
      </c>
    </row>
    <row r="471" spans="1:55" x14ac:dyDescent="0.2">
      <c r="A471" t="s">
        <v>977</v>
      </c>
      <c r="B471" t="s">
        <v>978</v>
      </c>
      <c r="C471">
        <v>700</v>
      </c>
      <c r="D471">
        <v>100</v>
      </c>
      <c r="E471">
        <v>275</v>
      </c>
      <c r="F471">
        <v>250</v>
      </c>
      <c r="G471">
        <v>125</v>
      </c>
      <c r="H471">
        <v>125</v>
      </c>
      <c r="I471">
        <v>1575</v>
      </c>
      <c r="J471">
        <v>25336.25</v>
      </c>
      <c r="K471">
        <v>316478.26</v>
      </c>
      <c r="L471">
        <v>221534.78</v>
      </c>
      <c r="M471">
        <v>51629.42</v>
      </c>
      <c r="N471">
        <v>134423.74</v>
      </c>
      <c r="O471">
        <v>353556</v>
      </c>
      <c r="P471">
        <v>1620000</v>
      </c>
      <c r="Q471">
        <v>9885.02</v>
      </c>
      <c r="R471">
        <v>1500.6</v>
      </c>
      <c r="S471">
        <v>6489.07</v>
      </c>
      <c r="T471">
        <v>50155.12</v>
      </c>
      <c r="U471">
        <v>70</v>
      </c>
      <c r="V471">
        <v>46101.85</v>
      </c>
      <c r="W471">
        <v>36988.69</v>
      </c>
      <c r="X471">
        <v>49050.22</v>
      </c>
      <c r="Y471">
        <v>0</v>
      </c>
      <c r="Z471">
        <v>9885.02</v>
      </c>
      <c r="AA471">
        <v>1500.6</v>
      </c>
      <c r="AB471">
        <v>6489.07</v>
      </c>
      <c r="AC471">
        <v>50155.12</v>
      </c>
      <c r="AD471">
        <v>0.48</v>
      </c>
      <c r="AE471">
        <v>0.99</v>
      </c>
      <c r="AF471">
        <v>0.27</v>
      </c>
      <c r="AG471">
        <v>0.76</v>
      </c>
      <c r="AH471">
        <v>0</v>
      </c>
      <c r="AI471">
        <v>0</v>
      </c>
      <c r="AJ471">
        <v>0</v>
      </c>
      <c r="AK471">
        <v>0</v>
      </c>
      <c r="AL471">
        <v>55986.869999999901</v>
      </c>
      <c r="AM471">
        <v>38489.29</v>
      </c>
      <c r="AN471">
        <v>55539.29</v>
      </c>
      <c r="AO471">
        <v>50155.12</v>
      </c>
      <c r="AP471">
        <v>175432.93</v>
      </c>
      <c r="AQ471">
        <v>14640.7299999999</v>
      </c>
      <c r="AR471">
        <v>85373.519999999902</v>
      </c>
      <c r="AS471">
        <v>353556</v>
      </c>
      <c r="AT471">
        <v>31.751439999999999</v>
      </c>
      <c r="AU471">
        <v>30.830648239999999</v>
      </c>
      <c r="AV471">
        <v>9002549.2860800009</v>
      </c>
      <c r="AW471">
        <v>6132364.2000000002</v>
      </c>
      <c r="AX471">
        <v>0.68118085279266805</v>
      </c>
      <c r="AY471">
        <v>327344.34999999998</v>
      </c>
      <c r="AZ471">
        <v>1.0343343963025999</v>
      </c>
      <c r="BA471">
        <v>373234.75609756098</v>
      </c>
      <c r="BB471">
        <v>1.1793377406004399</v>
      </c>
      <c r="BC471">
        <v>23.382920652785501</v>
      </c>
    </row>
    <row r="472" spans="1:55" x14ac:dyDescent="0.2">
      <c r="A472" t="s">
        <v>979</v>
      </c>
      <c r="B472" t="s">
        <v>980</v>
      </c>
      <c r="C472">
        <v>563</v>
      </c>
      <c r="D472">
        <v>74</v>
      </c>
      <c r="E472">
        <v>105</v>
      </c>
      <c r="F472">
        <v>190</v>
      </c>
      <c r="G472">
        <v>120</v>
      </c>
      <c r="H472">
        <v>80</v>
      </c>
      <c r="I472">
        <v>1132</v>
      </c>
      <c r="J472">
        <v>19498.689999999999</v>
      </c>
      <c r="K472">
        <v>245529.85</v>
      </c>
      <c r="L472">
        <v>171870.9</v>
      </c>
      <c r="M472">
        <v>40112.82</v>
      </c>
      <c r="N472">
        <v>109969.61</v>
      </c>
      <c r="O472">
        <v>282877.74</v>
      </c>
      <c r="P472">
        <v>14462483</v>
      </c>
      <c r="Q472">
        <v>82275.64</v>
      </c>
      <c r="R472">
        <v>7092.74</v>
      </c>
      <c r="S472">
        <v>122582.53</v>
      </c>
      <c r="T472">
        <v>912052.12</v>
      </c>
      <c r="U472">
        <v>75</v>
      </c>
      <c r="V472">
        <v>61011.74</v>
      </c>
      <c r="W472">
        <v>20053.91</v>
      </c>
      <c r="X472">
        <v>55442.64</v>
      </c>
      <c r="Y472">
        <v>1929113.68</v>
      </c>
      <c r="Z472">
        <v>68400.160000000003</v>
      </c>
      <c r="AA472">
        <v>5821.8</v>
      </c>
      <c r="AB472">
        <v>101629.27</v>
      </c>
      <c r="AC472">
        <v>748318.87</v>
      </c>
      <c r="AD472">
        <v>1.2</v>
      </c>
      <c r="AE472">
        <v>1.3</v>
      </c>
      <c r="AF472">
        <v>1.22</v>
      </c>
      <c r="AG472">
        <v>6.82</v>
      </c>
      <c r="AH472">
        <v>13875.48</v>
      </c>
      <c r="AI472">
        <v>1270.94</v>
      </c>
      <c r="AJ472">
        <v>20953.259999999998</v>
      </c>
      <c r="AK472">
        <v>163733.25</v>
      </c>
      <c r="AL472">
        <v>129411.9</v>
      </c>
      <c r="AM472">
        <v>25875.71</v>
      </c>
      <c r="AN472">
        <v>157071.91</v>
      </c>
      <c r="AO472">
        <v>2677432.5499999998</v>
      </c>
      <c r="AP472">
        <v>110859.159999999</v>
      </c>
      <c r="AQ472">
        <v>20058.91</v>
      </c>
      <c r="AR472">
        <v>54526.97</v>
      </c>
      <c r="AS472">
        <v>-1646235.94</v>
      </c>
      <c r="AT472">
        <v>34.019399999999997</v>
      </c>
      <c r="AU472">
        <v>33.032837399999998</v>
      </c>
      <c r="AV472">
        <v>7680299.8596869996</v>
      </c>
      <c r="AW472">
        <v>54746427.773029998</v>
      </c>
      <c r="AX472">
        <v>7.1281628026514401</v>
      </c>
      <c r="AY472">
        <v>251923.07479999901</v>
      </c>
      <c r="AZ472">
        <v>1.0260384828972899</v>
      </c>
      <c r="BA472">
        <v>280800.731707317</v>
      </c>
      <c r="BB472">
        <v>1.14365211279735</v>
      </c>
      <c r="BC472">
        <v>23.834186691312301</v>
      </c>
    </row>
    <row r="473" spans="1:55" x14ac:dyDescent="0.2">
      <c r="A473" t="s">
        <v>981</v>
      </c>
      <c r="B473" t="s">
        <v>982</v>
      </c>
      <c r="C473">
        <v>1200</v>
      </c>
      <c r="D473">
        <v>200</v>
      </c>
      <c r="E473">
        <v>480</v>
      </c>
      <c r="F473">
        <v>0</v>
      </c>
      <c r="G473">
        <v>150</v>
      </c>
      <c r="H473">
        <v>150</v>
      </c>
      <c r="I473">
        <v>2180</v>
      </c>
      <c r="J473">
        <v>38519.75</v>
      </c>
      <c r="K473">
        <v>488282.76</v>
      </c>
      <c r="L473">
        <v>341797.93</v>
      </c>
      <c r="M473">
        <v>79591.7</v>
      </c>
      <c r="N473">
        <v>224906.77</v>
      </c>
      <c r="O473">
        <v>612684</v>
      </c>
      <c r="P473">
        <v>15030000</v>
      </c>
      <c r="Q473">
        <v>85970.14</v>
      </c>
      <c r="R473">
        <v>5457.4</v>
      </c>
      <c r="S473">
        <v>113048.65</v>
      </c>
      <c r="T473">
        <v>629704.35</v>
      </c>
      <c r="U473">
        <v>63</v>
      </c>
      <c r="V473">
        <v>20970.57</v>
      </c>
      <c r="W473">
        <v>6754.21</v>
      </c>
      <c r="X473">
        <v>37065.1</v>
      </c>
      <c r="Y473">
        <v>395445.44</v>
      </c>
      <c r="Z473">
        <v>85970.14</v>
      </c>
      <c r="AA473">
        <v>5457.4</v>
      </c>
      <c r="AB473">
        <v>113048.65</v>
      </c>
      <c r="AC473">
        <v>629704.35</v>
      </c>
      <c r="AD473">
        <v>1.27</v>
      </c>
      <c r="AE473">
        <v>0.81</v>
      </c>
      <c r="AF473">
        <v>0.99</v>
      </c>
      <c r="AG473">
        <v>1.46</v>
      </c>
      <c r="AH473">
        <v>12012.84</v>
      </c>
      <c r="AI473">
        <v>2950.77</v>
      </c>
      <c r="AJ473">
        <v>9581.67</v>
      </c>
      <c r="AK473">
        <v>118698.3</v>
      </c>
      <c r="AL473">
        <v>106940.709999999</v>
      </c>
      <c r="AM473">
        <v>12211.61</v>
      </c>
      <c r="AN473">
        <v>150113.75</v>
      </c>
      <c r="AO473">
        <v>1025149.79</v>
      </c>
      <c r="AP473">
        <v>308814.51999999897</v>
      </c>
      <c r="AQ473">
        <v>69886.719999999899</v>
      </c>
      <c r="AR473">
        <v>178259.99999999901</v>
      </c>
      <c r="AS473">
        <v>98540.26</v>
      </c>
      <c r="AT473">
        <v>28.576295999999999</v>
      </c>
      <c r="AU473">
        <v>27.747583415999902</v>
      </c>
      <c r="AV473">
        <v>14179015.125576001</v>
      </c>
      <c r="AW473">
        <v>56894712.299999997</v>
      </c>
      <c r="AX473">
        <v>4.0125997325000196</v>
      </c>
      <c r="AY473">
        <v>497675.17</v>
      </c>
      <c r="AZ473">
        <v>1.0192355961943</v>
      </c>
      <c r="BA473">
        <v>588451.21951219498</v>
      </c>
      <c r="BB473">
        <v>1.20514437067611</v>
      </c>
      <c r="BC473">
        <v>22.8554232995658</v>
      </c>
    </row>
    <row r="474" spans="1:55" x14ac:dyDescent="0.2">
      <c r="A474" t="s">
        <v>983</v>
      </c>
      <c r="B474" t="s">
        <v>984</v>
      </c>
      <c r="C474">
        <v>0</v>
      </c>
      <c r="D474">
        <v>350</v>
      </c>
      <c r="E474">
        <v>700</v>
      </c>
      <c r="F474">
        <v>600</v>
      </c>
      <c r="G474">
        <v>200</v>
      </c>
      <c r="H474">
        <v>0</v>
      </c>
      <c r="I474">
        <v>1850</v>
      </c>
      <c r="J474">
        <v>18556</v>
      </c>
      <c r="K474">
        <v>198006</v>
      </c>
      <c r="L474">
        <v>138604.20000000001</v>
      </c>
      <c r="M474">
        <v>30114.48</v>
      </c>
      <c r="N474">
        <v>1</v>
      </c>
      <c r="O474">
        <v>80703</v>
      </c>
      <c r="P474">
        <v>2430000</v>
      </c>
      <c r="Q474">
        <v>13552.92</v>
      </c>
      <c r="R474">
        <v>707.5</v>
      </c>
      <c r="S474">
        <v>28307.68</v>
      </c>
      <c r="T474">
        <v>185085.01</v>
      </c>
      <c r="U474">
        <v>1</v>
      </c>
      <c r="V474">
        <v>47930.49</v>
      </c>
      <c r="W474">
        <v>15510.26</v>
      </c>
      <c r="X474">
        <v>75442.69</v>
      </c>
      <c r="Y474">
        <v>2555597.96</v>
      </c>
      <c r="Z474">
        <v>24620.06</v>
      </c>
      <c r="AA474">
        <v>1557.36</v>
      </c>
      <c r="AB474">
        <v>35950.03</v>
      </c>
      <c r="AC474">
        <v>220284.22</v>
      </c>
      <c r="AD474">
        <v>1.1499999999999999</v>
      </c>
      <c r="AE474">
        <v>1.02</v>
      </c>
      <c r="AF474">
        <v>0.71</v>
      </c>
      <c r="AG474">
        <v>5.21</v>
      </c>
      <c r="AH474">
        <v>0</v>
      </c>
      <c r="AI474">
        <v>0</v>
      </c>
      <c r="AJ474">
        <v>0</v>
      </c>
      <c r="AK474">
        <v>0</v>
      </c>
      <c r="AL474">
        <v>72550.55</v>
      </c>
      <c r="AM474">
        <v>17067.62</v>
      </c>
      <c r="AN474">
        <v>111392.72</v>
      </c>
      <c r="AO474">
        <v>2775882.18</v>
      </c>
      <c r="AP474">
        <v>79606.570000000007</v>
      </c>
      <c r="AQ474">
        <v>13754.36</v>
      </c>
      <c r="AR474">
        <v>-83084.039999999994</v>
      </c>
      <c r="AS474">
        <v>-2510094.17</v>
      </c>
      <c r="AT474">
        <v>0.453592</v>
      </c>
      <c r="AU474">
        <v>0.44043783199999997</v>
      </c>
      <c r="AV474">
        <v>56265.933037999901</v>
      </c>
      <c r="AW474">
        <v>9198546.3000000007</v>
      </c>
      <c r="AX474">
        <v>163.48340467023999</v>
      </c>
      <c r="AY474">
        <v>239743.52</v>
      </c>
      <c r="AZ474">
        <v>1.210789168005</v>
      </c>
      <c r="BA474">
        <v>310250</v>
      </c>
      <c r="BB474">
        <v>1.56687171095825</v>
      </c>
      <c r="BC474">
        <v>20.6457530529172</v>
      </c>
    </row>
    <row r="475" spans="1:55" x14ac:dyDescent="0.2">
      <c r="A475" t="s">
        <v>985</v>
      </c>
      <c r="B475" t="s">
        <v>986</v>
      </c>
      <c r="C475">
        <v>1</v>
      </c>
      <c r="D475">
        <v>218</v>
      </c>
      <c r="E475">
        <v>373</v>
      </c>
      <c r="F475">
        <v>258</v>
      </c>
      <c r="G475">
        <v>147</v>
      </c>
      <c r="H475">
        <v>0</v>
      </c>
      <c r="I475">
        <v>997</v>
      </c>
      <c r="J475">
        <v>9742.2999999999993</v>
      </c>
      <c r="K475">
        <v>107702.37</v>
      </c>
      <c r="L475">
        <v>75391.66</v>
      </c>
      <c r="M475">
        <v>15997.68</v>
      </c>
      <c r="N475">
        <v>146.58000000000001</v>
      </c>
      <c r="O475">
        <v>50738.58</v>
      </c>
      <c r="P475">
        <v>6038000</v>
      </c>
      <c r="Q475">
        <v>17769.64</v>
      </c>
      <c r="R475">
        <v>5281.16</v>
      </c>
      <c r="S475">
        <v>54077.05</v>
      </c>
      <c r="T475">
        <v>227776.78</v>
      </c>
      <c r="U475">
        <v>1</v>
      </c>
      <c r="V475">
        <v>7845.76</v>
      </c>
      <c r="W475">
        <v>3837.6</v>
      </c>
      <c r="X475">
        <v>15179.84</v>
      </c>
      <c r="Y475">
        <v>256692.8</v>
      </c>
      <c r="Z475">
        <v>11863.89</v>
      </c>
      <c r="AA475">
        <v>3680.59</v>
      </c>
      <c r="AB475">
        <v>36552.550000000003</v>
      </c>
      <c r="AC475">
        <v>157094.63</v>
      </c>
      <c r="AD475">
        <v>1.17</v>
      </c>
      <c r="AE475">
        <v>2.2799999999999998</v>
      </c>
      <c r="AF475">
        <v>2.08</v>
      </c>
      <c r="AG475">
        <v>5.0599999999999996</v>
      </c>
      <c r="AH475">
        <v>5905.76</v>
      </c>
      <c r="AI475">
        <v>1600.57</v>
      </c>
      <c r="AJ475">
        <v>17524.5</v>
      </c>
      <c r="AK475">
        <v>70682.149999999994</v>
      </c>
      <c r="AL475">
        <v>19709.650000000001</v>
      </c>
      <c r="AM475">
        <v>7518.19</v>
      </c>
      <c r="AN475">
        <v>51732.39</v>
      </c>
      <c r="AO475">
        <v>413787.43</v>
      </c>
      <c r="AP475">
        <v>67545.89</v>
      </c>
      <c r="AQ475">
        <v>12160.08</v>
      </c>
      <c r="AR475">
        <v>-15033.2599999999</v>
      </c>
      <c r="AS475">
        <v>-205954.22</v>
      </c>
      <c r="AT475">
        <v>0.453592</v>
      </c>
      <c r="AU475">
        <v>0.44043783199999997</v>
      </c>
      <c r="AV475">
        <v>35206.39810092</v>
      </c>
      <c r="AW475">
        <v>22856305.579999998</v>
      </c>
      <c r="AX475">
        <v>649.20886011917003</v>
      </c>
      <c r="AY475">
        <v>125870.515999999</v>
      </c>
      <c r="AZ475">
        <v>1.1686884513311999</v>
      </c>
      <c r="BA475">
        <v>170739.87804878</v>
      </c>
      <c r="BB475">
        <v>1.5852936016986401</v>
      </c>
      <c r="BC475">
        <v>19.344002130853699</v>
      </c>
    </row>
    <row r="476" spans="1:55" x14ac:dyDescent="0.2">
      <c r="A476" t="s">
        <v>987</v>
      </c>
      <c r="B476" t="s">
        <v>988</v>
      </c>
      <c r="C476">
        <v>700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700</v>
      </c>
      <c r="J476">
        <v>18585.41</v>
      </c>
      <c r="K476">
        <v>242948.72</v>
      </c>
      <c r="L476">
        <v>170064.1</v>
      </c>
      <c r="M476">
        <v>41239.67</v>
      </c>
      <c r="N476">
        <v>137651.85999999999</v>
      </c>
      <c r="O476">
        <v>330498</v>
      </c>
      <c r="P476">
        <v>17706000</v>
      </c>
      <c r="Q476">
        <v>72054.84</v>
      </c>
      <c r="R476">
        <v>4820.1000000000004</v>
      </c>
      <c r="S476">
        <v>94337.69</v>
      </c>
      <c r="T476">
        <v>1013499.92</v>
      </c>
      <c r="U476">
        <v>77</v>
      </c>
      <c r="V476">
        <v>0</v>
      </c>
      <c r="W476">
        <v>0</v>
      </c>
      <c r="X476">
        <v>0</v>
      </c>
      <c r="Y476">
        <v>0</v>
      </c>
      <c r="Z476">
        <v>41969.58</v>
      </c>
      <c r="AA476">
        <v>2694.24</v>
      </c>
      <c r="AB476">
        <v>51593.43</v>
      </c>
      <c r="AC476">
        <v>575093</v>
      </c>
      <c r="AD476">
        <v>1.05</v>
      </c>
      <c r="AE476">
        <v>0.42</v>
      </c>
      <c r="AF476">
        <v>1.26</v>
      </c>
      <c r="AG476">
        <v>3.09</v>
      </c>
      <c r="AH476">
        <v>30085.26</v>
      </c>
      <c r="AI476">
        <v>2125.86</v>
      </c>
      <c r="AJ476">
        <v>42744.26</v>
      </c>
      <c r="AK476">
        <v>438406.91</v>
      </c>
      <c r="AL476">
        <v>41969.58</v>
      </c>
      <c r="AM476">
        <v>2694.24</v>
      </c>
      <c r="AN476">
        <v>51593.43</v>
      </c>
      <c r="AO476">
        <v>575093</v>
      </c>
      <c r="AP476">
        <v>170064.09999999899</v>
      </c>
      <c r="AQ476">
        <v>41239.67</v>
      </c>
      <c r="AR476">
        <v>137651.85999999999</v>
      </c>
      <c r="AS476">
        <v>330498.00999999902</v>
      </c>
      <c r="AT476">
        <v>34.926583999999998</v>
      </c>
      <c r="AU476">
        <v>33.913713064</v>
      </c>
      <c r="AV476">
        <v>8664953.6878519896</v>
      </c>
      <c r="AW476">
        <v>67024469.460000001</v>
      </c>
      <c r="AX476">
        <v>7.73512148760428</v>
      </c>
      <c r="AY476">
        <v>240123.49719999899</v>
      </c>
      <c r="AZ476">
        <v>0.98837111469449102</v>
      </c>
      <c r="BA476">
        <v>255500</v>
      </c>
      <c r="BB476">
        <v>1.05166226024981</v>
      </c>
      <c r="BC476">
        <v>26.550585714285699</v>
      </c>
    </row>
    <row r="477" spans="1:55" x14ac:dyDescent="0.2">
      <c r="A477" t="s">
        <v>989</v>
      </c>
      <c r="B477" t="s">
        <v>990</v>
      </c>
      <c r="C477">
        <v>1750</v>
      </c>
      <c r="D477">
        <v>250</v>
      </c>
      <c r="E477">
        <v>150</v>
      </c>
      <c r="F477">
        <v>120</v>
      </c>
      <c r="G477">
        <v>180</v>
      </c>
      <c r="H477">
        <v>350</v>
      </c>
      <c r="I477">
        <v>2800</v>
      </c>
      <c r="J477">
        <v>53090.91</v>
      </c>
      <c r="K477">
        <v>687123.56</v>
      </c>
      <c r="L477">
        <v>480986.49</v>
      </c>
      <c r="M477">
        <v>111940.91</v>
      </c>
      <c r="N477">
        <v>336059.34</v>
      </c>
      <c r="O477">
        <v>883890</v>
      </c>
      <c r="P477">
        <v>33840000</v>
      </c>
      <c r="Q477">
        <v>232422.94</v>
      </c>
      <c r="R477">
        <v>11225.89</v>
      </c>
      <c r="S477">
        <v>152320.95000000001</v>
      </c>
      <c r="T477">
        <v>917202.29</v>
      </c>
      <c r="U477">
        <v>70</v>
      </c>
      <c r="V477">
        <v>255021.66</v>
      </c>
      <c r="W477">
        <v>107260.71</v>
      </c>
      <c r="X477">
        <v>668875.91</v>
      </c>
      <c r="Y477">
        <v>13540835.1</v>
      </c>
      <c r="Z477">
        <v>163481.54999999999</v>
      </c>
      <c r="AA477">
        <v>8408.15</v>
      </c>
      <c r="AB477">
        <v>109841.56</v>
      </c>
      <c r="AC477">
        <v>637331.02</v>
      </c>
      <c r="AD477">
        <v>1.1599999999999999</v>
      </c>
      <c r="AE477">
        <v>1.92</v>
      </c>
      <c r="AF477">
        <v>1.94</v>
      </c>
      <c r="AG477">
        <v>6.92</v>
      </c>
      <c r="AH477">
        <v>68941.38</v>
      </c>
      <c r="AI477">
        <v>2817.74</v>
      </c>
      <c r="AJ477">
        <v>42479.39</v>
      </c>
      <c r="AK477">
        <v>279871.27</v>
      </c>
      <c r="AL477">
        <v>418503.20999999897</v>
      </c>
      <c r="AM477">
        <v>115668.86</v>
      </c>
      <c r="AN477">
        <v>778717.47</v>
      </c>
      <c r="AO477">
        <v>14178166.119999999</v>
      </c>
      <c r="AP477">
        <v>225964.83999999901</v>
      </c>
      <c r="AQ477">
        <v>4680.2</v>
      </c>
      <c r="AR477">
        <v>-332816.56999999902</v>
      </c>
      <c r="AS477">
        <v>-12656945.099999901</v>
      </c>
      <c r="AT477">
        <v>31.751439999999999</v>
      </c>
      <c r="AU477">
        <v>30.830648239999999</v>
      </c>
      <c r="AV477">
        <v>22506373.2152</v>
      </c>
      <c r="AW477">
        <v>128098274.40000001</v>
      </c>
      <c r="AX477">
        <v>5.6916444588898498</v>
      </c>
      <c r="AY477">
        <v>685934.55720000004</v>
      </c>
      <c r="AZ477">
        <v>0.99826959389953096</v>
      </c>
      <c r="BA477">
        <v>789646.34146341402</v>
      </c>
      <c r="BB477">
        <v>1.1492057432340299</v>
      </c>
      <c r="BC477">
        <v>23.1566735106382</v>
      </c>
    </row>
    <row r="478" spans="1:55" x14ac:dyDescent="0.2">
      <c r="A478" t="s">
        <v>991</v>
      </c>
      <c r="B478" t="s">
        <v>992</v>
      </c>
      <c r="C478">
        <v>1240</v>
      </c>
      <c r="D478">
        <v>200</v>
      </c>
      <c r="E478">
        <v>400</v>
      </c>
      <c r="F478">
        <v>400</v>
      </c>
      <c r="G478">
        <v>100</v>
      </c>
      <c r="H478">
        <v>0</v>
      </c>
      <c r="I478">
        <v>2340</v>
      </c>
      <c r="J478">
        <v>39742.26</v>
      </c>
      <c r="K478">
        <v>506243.55</v>
      </c>
      <c r="L478">
        <v>354370.49</v>
      </c>
      <c r="M478">
        <v>83411.87</v>
      </c>
      <c r="N478">
        <v>225868.37</v>
      </c>
      <c r="O478">
        <v>631569.6</v>
      </c>
      <c r="P478">
        <v>23265000</v>
      </c>
      <c r="Q478">
        <v>97797.48</v>
      </c>
      <c r="R478">
        <v>6899.61</v>
      </c>
      <c r="S478">
        <v>118032.01</v>
      </c>
      <c r="T478">
        <v>1163694.3899999999</v>
      </c>
      <c r="U478">
        <v>55</v>
      </c>
      <c r="V478">
        <v>11769.19</v>
      </c>
      <c r="W478">
        <v>628.45000000000005</v>
      </c>
      <c r="X478">
        <v>2056.75</v>
      </c>
      <c r="Y478">
        <v>178823.16</v>
      </c>
      <c r="Z478">
        <v>60349.120000000003</v>
      </c>
      <c r="AA478">
        <v>4765.9799999999996</v>
      </c>
      <c r="AB478">
        <v>75212.649999999994</v>
      </c>
      <c r="AC478">
        <v>755874.24</v>
      </c>
      <c r="AD478">
        <v>1.28</v>
      </c>
      <c r="AE478">
        <v>0.52</v>
      </c>
      <c r="AF478">
        <v>0.92</v>
      </c>
      <c r="AG478">
        <v>2.48</v>
      </c>
      <c r="AH478">
        <v>45175.35</v>
      </c>
      <c r="AI478">
        <v>3104.78</v>
      </c>
      <c r="AJ478">
        <v>45015.01</v>
      </c>
      <c r="AK478">
        <v>444132.79</v>
      </c>
      <c r="AL478">
        <v>72118.31</v>
      </c>
      <c r="AM478">
        <v>5394.4299999999903</v>
      </c>
      <c r="AN478">
        <v>77269.399999999994</v>
      </c>
      <c r="AO478">
        <v>934697.4</v>
      </c>
      <c r="AP478">
        <v>334874.31</v>
      </c>
      <c r="AQ478">
        <v>81812.27</v>
      </c>
      <c r="AR478">
        <v>221615.96999999901</v>
      </c>
      <c r="AS478">
        <v>416433.799999999</v>
      </c>
      <c r="AT478">
        <v>24.947559999999999</v>
      </c>
      <c r="AU478">
        <v>24.22408076</v>
      </c>
      <c r="AV478">
        <v>12732176.847456001</v>
      </c>
      <c r="AW478">
        <v>88067563.650000006</v>
      </c>
      <c r="AX478">
        <v>6.9169290299008503</v>
      </c>
      <c r="AY478">
        <v>513469.99920000002</v>
      </c>
      <c r="AZ478">
        <v>1.01427464942516</v>
      </c>
      <c r="BA478">
        <v>636880.48780487804</v>
      </c>
      <c r="BB478">
        <v>1.25805155997518</v>
      </c>
      <c r="BC478">
        <v>22.462540115798099</v>
      </c>
    </row>
    <row r="479" spans="1:55" x14ac:dyDescent="0.2">
      <c r="A479" t="s">
        <v>993</v>
      </c>
      <c r="B479" t="s">
        <v>994</v>
      </c>
      <c r="C479">
        <v>3180</v>
      </c>
      <c r="D479">
        <v>600</v>
      </c>
      <c r="E479">
        <v>450</v>
      </c>
      <c r="F479">
        <v>0</v>
      </c>
      <c r="G479">
        <v>520</v>
      </c>
      <c r="H479">
        <v>0</v>
      </c>
      <c r="I479">
        <v>4750</v>
      </c>
      <c r="J479">
        <v>97594.64</v>
      </c>
      <c r="K479">
        <v>1258483.3600000001</v>
      </c>
      <c r="L479">
        <v>880938.35</v>
      </c>
      <c r="M479">
        <v>206472.11</v>
      </c>
      <c r="N479">
        <v>614857.80000000005</v>
      </c>
      <c r="O479">
        <v>1639753.2</v>
      </c>
      <c r="P479">
        <v>30546000</v>
      </c>
      <c r="Q479">
        <v>91819.92</v>
      </c>
      <c r="R479">
        <v>9790.99</v>
      </c>
      <c r="S479">
        <v>112357.83</v>
      </c>
      <c r="T479">
        <v>1063201.3999999999</v>
      </c>
      <c r="U479">
        <v>72</v>
      </c>
      <c r="V479">
        <v>222472</v>
      </c>
      <c r="W479">
        <v>47257.81</v>
      </c>
      <c r="X479">
        <v>145178.29999999999</v>
      </c>
      <c r="Y479">
        <v>5585315.2400000002</v>
      </c>
      <c r="Z479">
        <v>130429.32</v>
      </c>
      <c r="AA479">
        <v>15965.86</v>
      </c>
      <c r="AB479">
        <v>200728.69</v>
      </c>
      <c r="AC479">
        <v>1517740.43</v>
      </c>
      <c r="AD479">
        <v>0.91</v>
      </c>
      <c r="AE479">
        <v>0.9</v>
      </c>
      <c r="AF479">
        <v>0.73</v>
      </c>
      <c r="AG479">
        <v>4.1500000000000004</v>
      </c>
      <c r="AH479">
        <v>120645.8</v>
      </c>
      <c r="AI479">
        <v>17800.2</v>
      </c>
      <c r="AJ479">
        <v>21755.8</v>
      </c>
      <c r="AK479">
        <v>816831.4</v>
      </c>
      <c r="AL479">
        <v>352901.32</v>
      </c>
      <c r="AM479">
        <v>63223.67</v>
      </c>
      <c r="AN479">
        <v>345906.99</v>
      </c>
      <c r="AO479">
        <v>7103055.6699999999</v>
      </c>
      <c r="AP479">
        <v>499211.14999999898</v>
      </c>
      <c r="AQ479">
        <v>135239.22999999899</v>
      </c>
      <c r="AR479">
        <v>359552.84</v>
      </c>
      <c r="AS479">
        <v>-5216932.47</v>
      </c>
      <c r="AT479">
        <v>32.658624000000003</v>
      </c>
      <c r="AU479">
        <v>31.711523904</v>
      </c>
      <c r="AV479">
        <v>43752389.5303488</v>
      </c>
      <c r="AW479">
        <v>115629133.86</v>
      </c>
      <c r="AX479">
        <v>2.64280728666931</v>
      </c>
      <c r="AY479">
        <v>1260922.7487999999</v>
      </c>
      <c r="AZ479">
        <v>1.00193835602244</v>
      </c>
      <c r="BA479">
        <v>1462937.80487804</v>
      </c>
      <c r="BB479">
        <v>1.1624609838925799</v>
      </c>
      <c r="BC479">
        <v>23.6027855836725</v>
      </c>
    </row>
    <row r="480" spans="1:55" x14ac:dyDescent="0.2">
      <c r="A480" t="s">
        <v>995</v>
      </c>
      <c r="B480" t="s">
        <v>996</v>
      </c>
      <c r="C480">
        <v>0</v>
      </c>
      <c r="D480">
        <v>0</v>
      </c>
      <c r="E480">
        <v>915</v>
      </c>
      <c r="F480">
        <v>750</v>
      </c>
      <c r="G480">
        <v>400</v>
      </c>
      <c r="H480">
        <v>0</v>
      </c>
      <c r="I480">
        <v>2065</v>
      </c>
      <c r="J480">
        <v>19624.330000000002</v>
      </c>
      <c r="K480">
        <v>178937.4</v>
      </c>
      <c r="L480">
        <v>125256.18</v>
      </c>
      <c r="M480">
        <v>28262.52</v>
      </c>
      <c r="N480">
        <v>1</v>
      </c>
      <c r="O480">
        <v>0</v>
      </c>
      <c r="P480">
        <v>53362500</v>
      </c>
      <c r="Q480">
        <v>103865.1</v>
      </c>
      <c r="R480">
        <v>22507.040000000001</v>
      </c>
      <c r="S480">
        <v>146369.74</v>
      </c>
      <c r="T480">
        <v>1378857.91</v>
      </c>
      <c r="U480">
        <v>1</v>
      </c>
      <c r="V480">
        <v>78911.320000000007</v>
      </c>
      <c r="W480">
        <v>73716.5</v>
      </c>
      <c r="X480">
        <v>68978.100000000006</v>
      </c>
      <c r="Y480">
        <v>179040</v>
      </c>
      <c r="Z480">
        <v>103865.1</v>
      </c>
      <c r="AA480">
        <v>22507.040000000001</v>
      </c>
      <c r="AB480">
        <v>146369.74</v>
      </c>
      <c r="AC480">
        <v>1378857.91</v>
      </c>
      <c r="AD480">
        <v>1.1100000000000001</v>
      </c>
      <c r="AE480">
        <v>3.19</v>
      </c>
      <c r="AF480">
        <v>1.62</v>
      </c>
      <c r="AG480">
        <v>1.7</v>
      </c>
      <c r="AH480">
        <v>0</v>
      </c>
      <c r="AI480">
        <v>0</v>
      </c>
      <c r="AJ480">
        <v>0</v>
      </c>
      <c r="AK480">
        <v>0</v>
      </c>
      <c r="AL480">
        <v>182776.42</v>
      </c>
      <c r="AM480">
        <v>96223.54</v>
      </c>
      <c r="AN480">
        <v>215347.84</v>
      </c>
      <c r="AO480">
        <v>1557897.91</v>
      </c>
      <c r="AP480">
        <v>46344.859999999899</v>
      </c>
      <c r="AQ480">
        <v>-45453.98</v>
      </c>
      <c r="AR480">
        <v>-68977.100000000006</v>
      </c>
      <c r="AS480">
        <v>-179040</v>
      </c>
      <c r="AT480">
        <v>0.453592</v>
      </c>
      <c r="AU480">
        <v>0.44043783199999997</v>
      </c>
      <c r="AV480">
        <v>0</v>
      </c>
      <c r="AW480">
        <v>201998941.125</v>
      </c>
      <c r="AY480">
        <v>253546.34359999999</v>
      </c>
      <c r="AZ480">
        <v>1.4169555587596501</v>
      </c>
      <c r="BA480">
        <v>240143.292682926</v>
      </c>
      <c r="BB480">
        <v>1.3420519840062799</v>
      </c>
      <c r="BC480">
        <v>25.975707183212201</v>
      </c>
    </row>
    <row r="481" spans="1:55" x14ac:dyDescent="0.2">
      <c r="A481" t="s">
        <v>997</v>
      </c>
      <c r="B481" t="s">
        <v>998</v>
      </c>
      <c r="C481">
        <v>1200</v>
      </c>
      <c r="D481">
        <v>150</v>
      </c>
      <c r="E481">
        <v>100</v>
      </c>
      <c r="F481">
        <v>0</v>
      </c>
      <c r="G481">
        <v>0</v>
      </c>
      <c r="H481">
        <v>0</v>
      </c>
      <c r="I481">
        <v>1450</v>
      </c>
      <c r="J481">
        <v>30899.74</v>
      </c>
      <c r="K481">
        <v>403596.79999999999</v>
      </c>
      <c r="L481">
        <v>282517.76000000001</v>
      </c>
      <c r="M481">
        <v>66763.839999999997</v>
      </c>
      <c r="N481">
        <v>214629.49</v>
      </c>
      <c r="O481">
        <v>601155</v>
      </c>
      <c r="P481">
        <v>18555000</v>
      </c>
      <c r="Q481">
        <v>67189.56</v>
      </c>
      <c r="R481">
        <v>6862.28</v>
      </c>
      <c r="S481">
        <v>79495.509999999995</v>
      </c>
      <c r="T481">
        <v>862405.68</v>
      </c>
      <c r="U481">
        <v>50</v>
      </c>
      <c r="V481">
        <v>98796.96</v>
      </c>
      <c r="W481">
        <v>25880.51</v>
      </c>
      <c r="X481">
        <v>34256.769999999997</v>
      </c>
      <c r="Y481">
        <v>1385305.2</v>
      </c>
      <c r="Z481">
        <v>60524.24</v>
      </c>
      <c r="AA481">
        <v>6176.22</v>
      </c>
      <c r="AB481">
        <v>70656.160000000003</v>
      </c>
      <c r="AC481">
        <v>759822.26</v>
      </c>
      <c r="AD481">
        <v>1.21</v>
      </c>
      <c r="AE481">
        <v>1.24</v>
      </c>
      <c r="AF481">
        <v>0.59</v>
      </c>
      <c r="AG481">
        <v>4.5199999999999996</v>
      </c>
      <c r="AH481">
        <v>6665.32</v>
      </c>
      <c r="AI481">
        <v>686.06</v>
      </c>
      <c r="AJ481">
        <v>8839.36</v>
      </c>
      <c r="AK481">
        <v>102583.42</v>
      </c>
      <c r="AL481">
        <v>159321.20000000001</v>
      </c>
      <c r="AM481">
        <v>32056.73</v>
      </c>
      <c r="AN481">
        <v>104912.93</v>
      </c>
      <c r="AO481">
        <v>2145127.46</v>
      </c>
      <c r="AP481">
        <v>183720.8</v>
      </c>
      <c r="AQ481">
        <v>40883.33</v>
      </c>
      <c r="AR481">
        <v>180372.71</v>
      </c>
      <c r="AS481">
        <v>-784150.19999999902</v>
      </c>
      <c r="AT481">
        <v>22.679600000000001</v>
      </c>
      <c r="AU481">
        <v>22.0218916</v>
      </c>
      <c r="AV481">
        <v>10851287.085899999</v>
      </c>
      <c r="AW481">
        <v>70238282.549999997</v>
      </c>
      <c r="AX481">
        <v>6.4728065891157298</v>
      </c>
      <c r="AY481">
        <v>399224.64079999999</v>
      </c>
      <c r="AZ481">
        <v>0.98916701222606296</v>
      </c>
      <c r="BA481">
        <v>506103.65853658499</v>
      </c>
      <c r="BB481">
        <v>1.2539833282538</v>
      </c>
      <c r="BC481">
        <v>22.2847729111697</v>
      </c>
    </row>
    <row r="482" spans="1:55" x14ac:dyDescent="0.2">
      <c r="A482" t="s">
        <v>999</v>
      </c>
      <c r="B482" t="s">
        <v>1000</v>
      </c>
      <c r="C482">
        <v>0</v>
      </c>
      <c r="D482">
        <v>0</v>
      </c>
      <c r="E482">
        <v>25</v>
      </c>
      <c r="F482">
        <v>35</v>
      </c>
      <c r="G482">
        <v>25</v>
      </c>
      <c r="H482">
        <v>0</v>
      </c>
      <c r="I482">
        <v>85</v>
      </c>
      <c r="J482">
        <v>673.03</v>
      </c>
      <c r="K482">
        <v>6990.6</v>
      </c>
      <c r="L482">
        <v>4893.42</v>
      </c>
      <c r="M482">
        <v>1056.83</v>
      </c>
      <c r="N482">
        <v>1</v>
      </c>
      <c r="O482">
        <v>0</v>
      </c>
      <c r="P482">
        <v>-1680000</v>
      </c>
      <c r="Q482">
        <v>-3568.69</v>
      </c>
      <c r="R482">
        <v>-432.22</v>
      </c>
      <c r="S482">
        <v>-7785.08</v>
      </c>
      <c r="T482">
        <v>-41245.660000000003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9054.49</v>
      </c>
      <c r="AA482">
        <v>1287.26</v>
      </c>
      <c r="AB482">
        <v>15363.73</v>
      </c>
      <c r="AC482">
        <v>90157.24</v>
      </c>
      <c r="AD482">
        <v>0.28999999999999998</v>
      </c>
      <c r="AE482">
        <v>0.11</v>
      </c>
      <c r="AF482">
        <v>0.22</v>
      </c>
      <c r="AG482">
        <v>0.85</v>
      </c>
      <c r="AH482">
        <v>0</v>
      </c>
      <c r="AI482">
        <v>0</v>
      </c>
      <c r="AJ482">
        <v>0</v>
      </c>
      <c r="AK482">
        <v>0</v>
      </c>
      <c r="AL482">
        <v>9054.49</v>
      </c>
      <c r="AM482">
        <v>1287.26</v>
      </c>
      <c r="AN482">
        <v>15363.73</v>
      </c>
      <c r="AO482">
        <v>90157.24</v>
      </c>
      <c r="AP482">
        <v>-7729.76</v>
      </c>
      <c r="AQ482">
        <v>-662.65</v>
      </c>
      <c r="AR482">
        <v>-23147.809999999899</v>
      </c>
      <c r="AS482">
        <v>-131402.9</v>
      </c>
      <c r="AT482">
        <v>0.453592</v>
      </c>
      <c r="AU482">
        <v>0.44043783199999997</v>
      </c>
      <c r="AV482">
        <v>0</v>
      </c>
      <c r="AW482">
        <v>-6359488.7999999998</v>
      </c>
      <c r="AY482">
        <v>8695.5475999999999</v>
      </c>
      <c r="AZ482">
        <v>1.24389145423854</v>
      </c>
      <c r="BA482">
        <v>9125</v>
      </c>
      <c r="BB482">
        <v>1.3053242926215201</v>
      </c>
      <c r="BC482">
        <v>21.642533333333301</v>
      </c>
    </row>
    <row r="483" spans="1:55" x14ac:dyDescent="0.2">
      <c r="A483" t="s">
        <v>1001</v>
      </c>
      <c r="B483" t="s">
        <v>1002</v>
      </c>
      <c r="C483">
        <v>584</v>
      </c>
      <c r="D483">
        <v>60</v>
      </c>
      <c r="E483">
        <v>245</v>
      </c>
      <c r="F483">
        <v>245</v>
      </c>
      <c r="G483">
        <v>80</v>
      </c>
      <c r="H483">
        <v>0</v>
      </c>
      <c r="I483">
        <v>1214</v>
      </c>
      <c r="J483">
        <v>21764.34</v>
      </c>
      <c r="K483">
        <v>267091.98</v>
      </c>
      <c r="L483">
        <v>186964.39</v>
      </c>
      <c r="M483">
        <v>44531.53</v>
      </c>
      <c r="N483">
        <v>115995.2</v>
      </c>
      <c r="O483">
        <v>289564.56</v>
      </c>
      <c r="P483">
        <v>19395000</v>
      </c>
      <c r="Q483">
        <v>80484.02</v>
      </c>
      <c r="R483">
        <v>9849.5499999999993</v>
      </c>
      <c r="S483">
        <v>152826.91</v>
      </c>
      <c r="T483">
        <v>1166440.73</v>
      </c>
      <c r="U483">
        <v>80</v>
      </c>
      <c r="V483">
        <v>47635.44</v>
      </c>
      <c r="W483">
        <v>8146.3</v>
      </c>
      <c r="X483">
        <v>11699.72</v>
      </c>
      <c r="Y483">
        <v>418252.79999999999</v>
      </c>
      <c r="Z483">
        <v>63016.6</v>
      </c>
      <c r="AA483">
        <v>8224.82</v>
      </c>
      <c r="AB483">
        <v>123878.94</v>
      </c>
      <c r="AC483">
        <v>965209.4</v>
      </c>
      <c r="AD483">
        <v>1.26</v>
      </c>
      <c r="AE483">
        <v>1.07</v>
      </c>
      <c r="AF483">
        <v>1.28</v>
      </c>
      <c r="AG483">
        <v>3.63</v>
      </c>
      <c r="AH483">
        <v>17467.419999999998</v>
      </c>
      <c r="AI483">
        <v>1624.72</v>
      </c>
      <c r="AJ483">
        <v>28947.97</v>
      </c>
      <c r="AK483">
        <v>201231.33</v>
      </c>
      <c r="AL483">
        <v>110652.04</v>
      </c>
      <c r="AM483">
        <v>16371.119999999901</v>
      </c>
      <c r="AN483">
        <v>135578.66</v>
      </c>
      <c r="AO483">
        <v>1383462.2</v>
      </c>
      <c r="AP483">
        <v>139328.95000000001</v>
      </c>
      <c r="AQ483">
        <v>36385.24</v>
      </c>
      <c r="AR483">
        <v>104295.47999999901</v>
      </c>
      <c r="AS483">
        <v>-128688.239999999</v>
      </c>
      <c r="AT483">
        <v>36.28736</v>
      </c>
      <c r="AU483">
        <v>35.235026560000001</v>
      </c>
      <c r="AV483">
        <v>8282345.3431936</v>
      </c>
      <c r="AW483">
        <v>73418026.950000003</v>
      </c>
      <c r="AX483">
        <v>8.8644005903876799</v>
      </c>
      <c r="AY483">
        <v>281195.27279999998</v>
      </c>
      <c r="AZ483">
        <v>1.0528031309663399</v>
      </c>
      <c r="BA483">
        <v>304053.90243902401</v>
      </c>
      <c r="BB483">
        <v>1.1383864930688801</v>
      </c>
      <c r="BC483">
        <v>25.5289220117869</v>
      </c>
    </row>
    <row r="484" spans="1:55" x14ac:dyDescent="0.2">
      <c r="A484" t="s">
        <v>1003</v>
      </c>
      <c r="B484" t="s">
        <v>1004</v>
      </c>
      <c r="C484">
        <v>190</v>
      </c>
      <c r="D484">
        <v>30</v>
      </c>
      <c r="E484">
        <v>50</v>
      </c>
      <c r="F484">
        <v>50</v>
      </c>
      <c r="G484">
        <v>30</v>
      </c>
      <c r="H484">
        <v>25</v>
      </c>
      <c r="I484">
        <v>375</v>
      </c>
      <c r="J484">
        <v>5988.82</v>
      </c>
      <c r="K484">
        <v>75874.080000000002</v>
      </c>
      <c r="L484">
        <v>53111.86</v>
      </c>
      <c r="M484">
        <v>12276.62</v>
      </c>
      <c r="N484">
        <v>33983</v>
      </c>
      <c r="O484">
        <v>96624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50</v>
      </c>
      <c r="V484">
        <v>22312.5</v>
      </c>
      <c r="W484">
        <v>18653.25</v>
      </c>
      <c r="X484">
        <v>27042.75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1.05</v>
      </c>
      <c r="AE484">
        <v>3.78</v>
      </c>
      <c r="AF484">
        <v>0.7</v>
      </c>
      <c r="AG484">
        <v>0.9</v>
      </c>
      <c r="AH484">
        <v>0</v>
      </c>
      <c r="AI484">
        <v>0</v>
      </c>
      <c r="AJ484">
        <v>0</v>
      </c>
      <c r="AK484">
        <v>0</v>
      </c>
      <c r="AL484">
        <v>22312.5</v>
      </c>
      <c r="AM484">
        <v>18653.25</v>
      </c>
      <c r="AN484">
        <v>27042.75</v>
      </c>
      <c r="AO484">
        <v>0</v>
      </c>
      <c r="AP484">
        <v>30799.360000000001</v>
      </c>
      <c r="AQ484">
        <v>-6376.6299999999901</v>
      </c>
      <c r="AR484">
        <v>6940.25</v>
      </c>
      <c r="AS484">
        <v>96624</v>
      </c>
      <c r="AT484">
        <v>22.679600000000001</v>
      </c>
      <c r="AU484">
        <v>22.0218916</v>
      </c>
      <c r="AV484">
        <v>1768357.8954799999</v>
      </c>
      <c r="AW484">
        <v>0</v>
      </c>
      <c r="AY484">
        <v>77375.554399999994</v>
      </c>
      <c r="AZ484">
        <v>1.0197890294023899</v>
      </c>
      <c r="BA484">
        <v>96101.829268292597</v>
      </c>
      <c r="BB484">
        <v>1.2665963036163601</v>
      </c>
      <c r="BC484">
        <v>21.6431573380343</v>
      </c>
    </row>
    <row r="485" spans="1:55" x14ac:dyDescent="0.2">
      <c r="A485" t="s">
        <v>1005</v>
      </c>
      <c r="B485" t="s">
        <v>1006</v>
      </c>
      <c r="C485">
        <v>1250</v>
      </c>
      <c r="D485">
        <v>150</v>
      </c>
      <c r="E485">
        <v>80</v>
      </c>
      <c r="F485">
        <v>0</v>
      </c>
      <c r="G485">
        <v>0</v>
      </c>
      <c r="H485">
        <v>0</v>
      </c>
      <c r="I485">
        <v>1480</v>
      </c>
      <c r="J485">
        <v>36167.839999999997</v>
      </c>
      <c r="K485">
        <v>468899.8</v>
      </c>
      <c r="L485">
        <v>328229.86</v>
      </c>
      <c r="M485">
        <v>78553.990000000005</v>
      </c>
      <c r="N485">
        <v>245806.89</v>
      </c>
      <c r="O485">
        <v>624762</v>
      </c>
      <c r="P485">
        <v>22905000</v>
      </c>
      <c r="Q485">
        <v>127905.82</v>
      </c>
      <c r="R485">
        <v>11203.6</v>
      </c>
      <c r="S485">
        <v>178534.72</v>
      </c>
      <c r="T485">
        <v>1220829.27</v>
      </c>
      <c r="U485">
        <v>77</v>
      </c>
      <c r="V485">
        <v>0</v>
      </c>
      <c r="W485">
        <v>0</v>
      </c>
      <c r="X485">
        <v>0</v>
      </c>
      <c r="Y485">
        <v>0</v>
      </c>
      <c r="Z485">
        <v>55487.199999999997</v>
      </c>
      <c r="AA485">
        <v>5433.85</v>
      </c>
      <c r="AB485">
        <v>77086.649999999994</v>
      </c>
      <c r="AC485">
        <v>524050.14</v>
      </c>
      <c r="AD485">
        <v>1.08</v>
      </c>
      <c r="AE485">
        <v>0.52</v>
      </c>
      <c r="AF485">
        <v>1.1299999999999999</v>
      </c>
      <c r="AG485">
        <v>2.1800000000000002</v>
      </c>
      <c r="AH485">
        <v>248945.68</v>
      </c>
      <c r="AI485">
        <v>102240.72</v>
      </c>
      <c r="AJ485">
        <v>385686.56</v>
      </c>
      <c r="AK485">
        <v>4481658.8099999996</v>
      </c>
      <c r="AL485">
        <v>55487.199999999997</v>
      </c>
      <c r="AM485">
        <v>5433.85</v>
      </c>
      <c r="AN485">
        <v>77086.649999999994</v>
      </c>
      <c r="AO485">
        <v>524050.14</v>
      </c>
      <c r="AP485">
        <v>151702.79999999999</v>
      </c>
      <c r="AQ485">
        <v>-17916.979999999901</v>
      </c>
      <c r="AR485">
        <v>-38431.599999999999</v>
      </c>
      <c r="AS485">
        <v>-3160117.6799999899</v>
      </c>
      <c r="AT485">
        <v>34.926583999999998</v>
      </c>
      <c r="AU485">
        <v>33.913713064</v>
      </c>
      <c r="AV485">
        <v>17329907.375703901</v>
      </c>
      <c r="AW485">
        <v>86704816.049999997</v>
      </c>
      <c r="AX485">
        <v>5.0031898134410904</v>
      </c>
      <c r="AY485">
        <v>467288.49279999902</v>
      </c>
      <c r="AZ485">
        <v>0.99656364280812204</v>
      </c>
      <c r="BA485">
        <v>521682.92682926799</v>
      </c>
      <c r="BB485">
        <v>1.1125680301618099</v>
      </c>
      <c r="BC485">
        <v>25.305144027303701</v>
      </c>
    </row>
    <row r="486" spans="1:55" x14ac:dyDescent="0.2">
      <c r="A486" t="s">
        <v>1007</v>
      </c>
      <c r="B486" t="s">
        <v>1008</v>
      </c>
      <c r="C486">
        <v>1664</v>
      </c>
      <c r="D486">
        <v>276</v>
      </c>
      <c r="E486">
        <v>285</v>
      </c>
      <c r="F486">
        <v>690</v>
      </c>
      <c r="G486">
        <v>560</v>
      </c>
      <c r="H486">
        <v>0</v>
      </c>
      <c r="I486">
        <v>3475</v>
      </c>
      <c r="J486">
        <v>62909.02</v>
      </c>
      <c r="K486">
        <v>793032.94</v>
      </c>
      <c r="L486">
        <v>555123.06000000006</v>
      </c>
      <c r="M486">
        <v>130433.33</v>
      </c>
      <c r="N486">
        <v>345854.26</v>
      </c>
      <c r="O486">
        <v>849281.04</v>
      </c>
      <c r="P486">
        <v>118333150</v>
      </c>
      <c r="Q486">
        <v>195584.96</v>
      </c>
      <c r="R486">
        <v>30829.87</v>
      </c>
      <c r="S486">
        <v>270657.78000000003</v>
      </c>
      <c r="T486">
        <v>1508105.85</v>
      </c>
      <c r="U486">
        <v>94</v>
      </c>
      <c r="V486">
        <v>0</v>
      </c>
      <c r="W486">
        <v>0</v>
      </c>
      <c r="X486">
        <v>0</v>
      </c>
      <c r="Y486">
        <v>0</v>
      </c>
      <c r="Z486">
        <v>164108.04</v>
      </c>
      <c r="AA486">
        <v>27444.68</v>
      </c>
      <c r="AB486">
        <v>239529.47</v>
      </c>
      <c r="AC486">
        <v>1223215.8999999999</v>
      </c>
      <c r="AD486">
        <v>1.05</v>
      </c>
      <c r="AE486">
        <v>1.07</v>
      </c>
      <c r="AF486">
        <v>1.34</v>
      </c>
      <c r="AG486">
        <v>1.33</v>
      </c>
      <c r="AH486">
        <v>160859.46</v>
      </c>
      <c r="AI486">
        <v>20093.86</v>
      </c>
      <c r="AJ486">
        <v>61006.91</v>
      </c>
      <c r="AK486">
        <v>284889.96000000002</v>
      </c>
      <c r="AL486">
        <v>164108.04</v>
      </c>
      <c r="AM486">
        <v>27444.68</v>
      </c>
      <c r="AN486">
        <v>239529.47</v>
      </c>
      <c r="AO486">
        <v>1223215.8999999999</v>
      </c>
      <c r="AP486">
        <v>425740.52</v>
      </c>
      <c r="AQ486">
        <v>113724.66</v>
      </c>
      <c r="AR486">
        <v>315975.65999999997</v>
      </c>
      <c r="AS486">
        <v>849281.03</v>
      </c>
      <c r="AT486">
        <v>42.637647999999999</v>
      </c>
      <c r="AU486">
        <v>41.401156207999897</v>
      </c>
      <c r="AV486">
        <v>29316158.710884798</v>
      </c>
      <c r="AW486">
        <v>447939489.34149998</v>
      </c>
      <c r="AX486">
        <v>15.2796105983416</v>
      </c>
      <c r="AY486">
        <v>812784.53839999996</v>
      </c>
      <c r="AZ486">
        <v>1.0249064035095401</v>
      </c>
      <c r="BA486">
        <v>863225</v>
      </c>
      <c r="BB486">
        <v>1.08851090094693</v>
      </c>
      <c r="BC486">
        <v>25.1476607029688</v>
      </c>
    </row>
    <row r="487" spans="1:55" x14ac:dyDescent="0.2">
      <c r="A487" t="s">
        <v>1009</v>
      </c>
      <c r="B487" t="s">
        <v>1010</v>
      </c>
      <c r="C487">
        <v>0</v>
      </c>
      <c r="D487">
        <v>0</v>
      </c>
      <c r="E487">
        <v>25</v>
      </c>
      <c r="F487">
        <v>20</v>
      </c>
      <c r="G487">
        <v>0</v>
      </c>
      <c r="H487">
        <v>0</v>
      </c>
      <c r="I487">
        <v>45</v>
      </c>
      <c r="J487">
        <v>451.93</v>
      </c>
      <c r="K487">
        <v>4282.2</v>
      </c>
      <c r="L487">
        <v>2997.54</v>
      </c>
      <c r="M487">
        <v>724.68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2519.52</v>
      </c>
      <c r="W487">
        <v>707.2</v>
      </c>
      <c r="X487">
        <v>3692.4</v>
      </c>
      <c r="Y487">
        <v>22328.16</v>
      </c>
      <c r="Z487">
        <v>0</v>
      </c>
      <c r="AA487">
        <v>0</v>
      </c>
      <c r="AB487">
        <v>0</v>
      </c>
      <c r="AC487">
        <v>0</v>
      </c>
      <c r="AD487">
        <v>1.36</v>
      </c>
      <c r="AE487">
        <v>1</v>
      </c>
      <c r="AF487">
        <v>0.64</v>
      </c>
      <c r="AG487">
        <v>1.08</v>
      </c>
      <c r="AH487">
        <v>0</v>
      </c>
      <c r="AI487">
        <v>0</v>
      </c>
      <c r="AJ487">
        <v>0</v>
      </c>
      <c r="AK487">
        <v>0</v>
      </c>
      <c r="AL487">
        <v>2519.52</v>
      </c>
      <c r="AM487">
        <v>707.2</v>
      </c>
      <c r="AN487">
        <v>3692.4</v>
      </c>
      <c r="AO487">
        <v>22328.16</v>
      </c>
      <c r="AP487">
        <v>478.02</v>
      </c>
      <c r="AQ487">
        <v>17.479999999999901</v>
      </c>
      <c r="AR487">
        <v>-3691.4</v>
      </c>
      <c r="AS487">
        <v>-22328.16</v>
      </c>
      <c r="AT487">
        <v>0.453592</v>
      </c>
      <c r="AU487">
        <v>0.44043783199999997</v>
      </c>
      <c r="AV487">
        <v>0</v>
      </c>
      <c r="AW487">
        <v>0</v>
      </c>
      <c r="AY487">
        <v>5838.9355999999998</v>
      </c>
      <c r="AZ487">
        <v>1.36353640652001</v>
      </c>
      <c r="BA487">
        <v>6009.14634146341</v>
      </c>
      <c r="BB487">
        <v>1.40328483991019</v>
      </c>
      <c r="BC487">
        <v>27.450562962962898</v>
      </c>
    </row>
    <row r="488" spans="1:55" x14ac:dyDescent="0.2">
      <c r="A488" t="s">
        <v>1011</v>
      </c>
      <c r="B488" t="s">
        <v>1012</v>
      </c>
      <c r="C488">
        <v>0</v>
      </c>
      <c r="D488">
        <v>0</v>
      </c>
      <c r="E488">
        <v>0</v>
      </c>
      <c r="F488">
        <v>300</v>
      </c>
      <c r="G488">
        <v>0</v>
      </c>
      <c r="H488">
        <v>0</v>
      </c>
      <c r="I488">
        <v>300</v>
      </c>
      <c r="J488">
        <v>2798.79</v>
      </c>
      <c r="K488">
        <v>28548</v>
      </c>
      <c r="L488">
        <v>19983.599999999999</v>
      </c>
      <c r="M488">
        <v>4831.2</v>
      </c>
      <c r="N488">
        <v>1</v>
      </c>
      <c r="O488">
        <v>0</v>
      </c>
      <c r="P488">
        <v>6540000</v>
      </c>
      <c r="Q488">
        <v>19980.43</v>
      </c>
      <c r="R488">
        <v>2492.33</v>
      </c>
      <c r="S488">
        <v>27652.03</v>
      </c>
      <c r="T488">
        <v>227460.5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8674.6299999999992</v>
      </c>
      <c r="AA488">
        <v>1137.49</v>
      </c>
      <c r="AB488">
        <v>11709.25</v>
      </c>
      <c r="AC488">
        <v>112019.11</v>
      </c>
      <c r="AD488">
        <v>1.35</v>
      </c>
      <c r="AE488">
        <v>0.44</v>
      </c>
      <c r="AF488">
        <v>0.79</v>
      </c>
      <c r="AG488">
        <v>2.4</v>
      </c>
      <c r="AH488">
        <v>11305.81</v>
      </c>
      <c r="AI488">
        <v>1354.84</v>
      </c>
      <c r="AJ488">
        <v>15942.79</v>
      </c>
      <c r="AK488">
        <v>115441.39</v>
      </c>
      <c r="AL488">
        <v>8674.6299999999992</v>
      </c>
      <c r="AM488">
        <v>1137.49</v>
      </c>
      <c r="AN488">
        <v>11709.25</v>
      </c>
      <c r="AO488">
        <v>112019.11</v>
      </c>
      <c r="AP488">
        <v>19983.59</v>
      </c>
      <c r="AQ488">
        <v>4831.2</v>
      </c>
      <c r="AR488">
        <v>0.98999999999796195</v>
      </c>
      <c r="AS488">
        <v>0</v>
      </c>
      <c r="AT488">
        <v>0.453592</v>
      </c>
      <c r="AU488">
        <v>0.44043783199999997</v>
      </c>
      <c r="AV488">
        <v>0</v>
      </c>
      <c r="AW488">
        <v>24756581.399999999</v>
      </c>
      <c r="AY488">
        <v>36160.366799999902</v>
      </c>
      <c r="AZ488">
        <v>1.2666514922236201</v>
      </c>
      <c r="BA488">
        <v>40060.975609756097</v>
      </c>
      <c r="BB488">
        <v>1.40328483991019</v>
      </c>
      <c r="BC488">
        <v>25.500086666666601</v>
      </c>
    </row>
    <row r="489" spans="1:55" x14ac:dyDescent="0.2">
      <c r="A489" t="s">
        <v>1013</v>
      </c>
      <c r="B489" t="s">
        <v>1014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1</v>
      </c>
      <c r="L489">
        <v>0.7</v>
      </c>
      <c r="M489">
        <v>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16012.55</v>
      </c>
      <c r="W489">
        <v>7078.43</v>
      </c>
      <c r="X489">
        <v>30418.1</v>
      </c>
      <c r="Y489">
        <v>1513252.61</v>
      </c>
      <c r="Z489">
        <v>0</v>
      </c>
      <c r="AA489">
        <v>0</v>
      </c>
      <c r="AB489">
        <v>0</v>
      </c>
      <c r="AC489">
        <v>0</v>
      </c>
      <c r="AD489">
        <v>0.71</v>
      </c>
      <c r="AE489">
        <v>0.51</v>
      </c>
      <c r="AF489">
        <v>0.36</v>
      </c>
      <c r="AG489">
        <v>1.43</v>
      </c>
      <c r="AH489">
        <v>0</v>
      </c>
      <c r="AI489">
        <v>0</v>
      </c>
      <c r="AJ489">
        <v>0</v>
      </c>
      <c r="AK489">
        <v>0</v>
      </c>
      <c r="AL489">
        <v>16012.55</v>
      </c>
      <c r="AM489">
        <v>7078.43</v>
      </c>
      <c r="AN489">
        <v>30418.1</v>
      </c>
      <c r="AO489">
        <v>1513252.61</v>
      </c>
      <c r="AP489">
        <v>-16011.8499999999</v>
      </c>
      <c r="AQ489">
        <v>-7077.43</v>
      </c>
      <c r="AR489">
        <v>-30417.1</v>
      </c>
      <c r="AS489">
        <v>-1513252.61</v>
      </c>
      <c r="AT489">
        <v>0.453592</v>
      </c>
      <c r="AU489">
        <v>0.44043783199999997</v>
      </c>
      <c r="AV489">
        <v>0</v>
      </c>
      <c r="AW489">
        <v>0</v>
      </c>
    </row>
    <row r="490" spans="1:55" x14ac:dyDescent="0.2">
      <c r="A490" t="s">
        <v>1015</v>
      </c>
      <c r="B490" t="s">
        <v>1016</v>
      </c>
      <c r="C490">
        <v>650</v>
      </c>
      <c r="D490">
        <v>0</v>
      </c>
      <c r="E490">
        <v>102</v>
      </c>
      <c r="F490">
        <v>0</v>
      </c>
      <c r="G490">
        <v>0</v>
      </c>
      <c r="H490">
        <v>0</v>
      </c>
      <c r="I490">
        <v>752</v>
      </c>
      <c r="J490">
        <v>18986.11</v>
      </c>
      <c r="K490">
        <v>244302.74</v>
      </c>
      <c r="L490">
        <v>171011.92</v>
      </c>
      <c r="M490">
        <v>41591.660000000003</v>
      </c>
      <c r="N490">
        <v>131673.56</v>
      </c>
      <c r="O490">
        <v>306891</v>
      </c>
      <c r="P490">
        <v>17593200</v>
      </c>
      <c r="Q490">
        <v>56935.66</v>
      </c>
      <c r="R490">
        <v>6143.82</v>
      </c>
      <c r="S490">
        <v>77875.86</v>
      </c>
      <c r="T490">
        <v>689563.04</v>
      </c>
      <c r="U490">
        <v>86</v>
      </c>
      <c r="V490">
        <v>12887.42</v>
      </c>
      <c r="W490">
        <v>5656.15</v>
      </c>
      <c r="X490">
        <v>7485.84</v>
      </c>
      <c r="Y490">
        <v>571978.88</v>
      </c>
      <c r="Z490">
        <v>56935.66</v>
      </c>
      <c r="AA490">
        <v>6143.82</v>
      </c>
      <c r="AB490">
        <v>77875.86</v>
      </c>
      <c r="AC490">
        <v>689563.04</v>
      </c>
      <c r="AD490">
        <v>1.34</v>
      </c>
      <c r="AE490">
        <v>1.47</v>
      </c>
      <c r="AF490">
        <v>1.33</v>
      </c>
      <c r="AG490">
        <v>5</v>
      </c>
      <c r="AH490">
        <v>0</v>
      </c>
      <c r="AI490">
        <v>0</v>
      </c>
      <c r="AJ490">
        <v>0</v>
      </c>
      <c r="AK490">
        <v>0</v>
      </c>
      <c r="AL490">
        <v>69823.08</v>
      </c>
      <c r="AM490">
        <v>11799.97</v>
      </c>
      <c r="AN490">
        <v>85361.7</v>
      </c>
      <c r="AO490">
        <v>1261541.92</v>
      </c>
      <c r="AP490">
        <v>158124.5</v>
      </c>
      <c r="AQ490">
        <v>35935.51</v>
      </c>
      <c r="AR490">
        <v>124187.719999999</v>
      </c>
      <c r="AS490">
        <v>-265087.87999999902</v>
      </c>
      <c r="AT490">
        <v>39.008912000000002</v>
      </c>
      <c r="AU490">
        <v>37.877653551999998</v>
      </c>
      <c r="AV490">
        <v>8986473.3052119892</v>
      </c>
      <c r="AW490">
        <v>66597475.211999997</v>
      </c>
      <c r="AX490">
        <v>7.4108577358566903</v>
      </c>
      <c r="AY490">
        <v>245300.54120000001</v>
      </c>
      <c r="AZ490">
        <v>1.00408428165807</v>
      </c>
      <c r="BA490">
        <v>250870.731707317</v>
      </c>
      <c r="BB490">
        <v>1.0268846420114499</v>
      </c>
      <c r="BC490">
        <v>27.623509936124901</v>
      </c>
    </row>
    <row r="491" spans="1:55" x14ac:dyDescent="0.2">
      <c r="A491" t="s">
        <v>1017</v>
      </c>
      <c r="B491" t="s">
        <v>1018</v>
      </c>
      <c r="C491">
        <v>2875</v>
      </c>
      <c r="D491">
        <v>465</v>
      </c>
      <c r="E491">
        <v>1080</v>
      </c>
      <c r="F491">
        <v>975</v>
      </c>
      <c r="G491">
        <v>385</v>
      </c>
      <c r="H491">
        <v>0</v>
      </c>
      <c r="I491">
        <v>5780</v>
      </c>
      <c r="J491">
        <v>102068.75</v>
      </c>
      <c r="K491">
        <v>1267235.68</v>
      </c>
      <c r="L491">
        <v>887064.98</v>
      </c>
      <c r="M491">
        <v>209404.76</v>
      </c>
      <c r="N491">
        <v>552097.49</v>
      </c>
      <c r="O491">
        <v>1464622.2</v>
      </c>
      <c r="P491">
        <v>209494800</v>
      </c>
      <c r="Q491">
        <v>523231.91</v>
      </c>
      <c r="R491">
        <v>87248.4</v>
      </c>
      <c r="S491">
        <v>1073524.52</v>
      </c>
      <c r="T491">
        <v>3729540.51</v>
      </c>
      <c r="U491">
        <v>70</v>
      </c>
      <c r="V491">
        <v>121944.92</v>
      </c>
      <c r="W491">
        <v>20531.3</v>
      </c>
      <c r="X491">
        <v>78363.91</v>
      </c>
      <c r="Y491">
        <v>375603.36</v>
      </c>
      <c r="Z491">
        <v>523231.91</v>
      </c>
      <c r="AA491">
        <v>87248.4</v>
      </c>
      <c r="AB491">
        <v>1073524.52</v>
      </c>
      <c r="AC491">
        <v>3729540.51</v>
      </c>
      <c r="AD491">
        <v>0.92</v>
      </c>
      <c r="AE491">
        <v>0.75</v>
      </c>
      <c r="AF491">
        <v>1.24</v>
      </c>
      <c r="AG491">
        <v>1.39</v>
      </c>
      <c r="AH491">
        <v>0</v>
      </c>
      <c r="AI491">
        <v>0</v>
      </c>
      <c r="AJ491">
        <v>0</v>
      </c>
      <c r="AK491">
        <v>0</v>
      </c>
      <c r="AL491">
        <v>645176.82999999996</v>
      </c>
      <c r="AM491">
        <v>107779.7</v>
      </c>
      <c r="AN491">
        <v>1151888.43</v>
      </c>
      <c r="AO491">
        <v>4105143.8699999899</v>
      </c>
      <c r="AP491">
        <v>765120.05999999901</v>
      </c>
      <c r="AQ491">
        <v>188873.46</v>
      </c>
      <c r="AR491">
        <v>473733.58</v>
      </c>
      <c r="AS491">
        <v>1089018.8400000001</v>
      </c>
      <c r="AT491">
        <v>31.751439999999999</v>
      </c>
      <c r="AU491">
        <v>30.830648239999999</v>
      </c>
      <c r="AV491">
        <v>37585643.269383997</v>
      </c>
      <c r="AW491">
        <v>793023710.86800003</v>
      </c>
      <c r="AX491">
        <v>21.099112370759102</v>
      </c>
      <c r="AY491">
        <v>1318728.25</v>
      </c>
      <c r="AZ491">
        <v>1.0406337754000099</v>
      </c>
      <c r="BA491">
        <v>1510654.8780487799</v>
      </c>
      <c r="BB491">
        <v>1.19208676167386</v>
      </c>
      <c r="BC491">
        <v>24.114433271868101</v>
      </c>
    </row>
    <row r="492" spans="1:55" x14ac:dyDescent="0.2">
      <c r="A492" t="s">
        <v>1019</v>
      </c>
      <c r="B492" t="s">
        <v>1020</v>
      </c>
      <c r="C492">
        <v>950</v>
      </c>
      <c r="D492">
        <v>134</v>
      </c>
      <c r="E492">
        <v>350</v>
      </c>
      <c r="F492">
        <v>210</v>
      </c>
      <c r="G492">
        <v>78</v>
      </c>
      <c r="H492">
        <v>78</v>
      </c>
      <c r="I492">
        <v>1800</v>
      </c>
      <c r="J492">
        <v>33278.67</v>
      </c>
      <c r="K492">
        <v>414059.43</v>
      </c>
      <c r="L492">
        <v>289841.59999999998</v>
      </c>
      <c r="M492">
        <v>68519.75</v>
      </c>
      <c r="N492">
        <v>186187.37</v>
      </c>
      <c r="O492">
        <v>479430.72</v>
      </c>
      <c r="P492">
        <v>69300000</v>
      </c>
      <c r="Q492">
        <v>106563.96</v>
      </c>
      <c r="R492">
        <v>11591.31</v>
      </c>
      <c r="S492">
        <v>150043.44</v>
      </c>
      <c r="T492">
        <v>1324298.43</v>
      </c>
      <c r="U492">
        <v>76</v>
      </c>
      <c r="V492">
        <v>91730.42</v>
      </c>
      <c r="W492">
        <v>36186.18</v>
      </c>
      <c r="X492">
        <v>90403.71</v>
      </c>
      <c r="Y492">
        <v>1683986.81</v>
      </c>
      <c r="Z492">
        <v>106563.96</v>
      </c>
      <c r="AA492">
        <v>11591.31</v>
      </c>
      <c r="AB492">
        <v>150043.44</v>
      </c>
      <c r="AC492">
        <v>1324298.43</v>
      </c>
      <c r="AD492">
        <v>1.2</v>
      </c>
      <c r="AE492">
        <v>1.1200000000000001</v>
      </c>
      <c r="AF492">
        <v>0.95</v>
      </c>
      <c r="AG492">
        <v>5.24</v>
      </c>
      <c r="AH492">
        <v>8346.7999999999993</v>
      </c>
      <c r="AI492">
        <v>1069.9100000000001</v>
      </c>
      <c r="AJ492">
        <v>1024.3800000000001</v>
      </c>
      <c r="AK492">
        <v>31793.72</v>
      </c>
      <c r="AL492">
        <v>198294.38</v>
      </c>
      <c r="AM492">
        <v>47777.49</v>
      </c>
      <c r="AN492">
        <v>240447.15</v>
      </c>
      <c r="AO492">
        <v>3008285.24</v>
      </c>
      <c r="AP492">
        <v>189764.38</v>
      </c>
      <c r="AQ492">
        <v>31263.66</v>
      </c>
      <c r="AR492">
        <v>94759.279999999897</v>
      </c>
      <c r="AS492">
        <v>-1236349.81</v>
      </c>
      <c r="AT492">
        <v>34.472991999999998</v>
      </c>
      <c r="AU492">
        <v>33.473275231999999</v>
      </c>
      <c r="AV492">
        <v>13244036.0782931</v>
      </c>
      <c r="AW492">
        <v>262328913</v>
      </c>
      <c r="AX492">
        <v>19.8073239493778</v>
      </c>
      <c r="AY492">
        <v>429960.41639999999</v>
      </c>
      <c r="AZ492">
        <v>1.0384026669794699</v>
      </c>
      <c r="BA492">
        <v>477384.39024390199</v>
      </c>
      <c r="BB492">
        <v>1.15293688696789</v>
      </c>
      <c r="BC492">
        <v>24.725019389678099</v>
      </c>
    </row>
    <row r="493" spans="1:55" x14ac:dyDescent="0.2">
      <c r="A493" t="s">
        <v>1021</v>
      </c>
      <c r="B493" t="s">
        <v>1022</v>
      </c>
      <c r="C493">
        <v>500</v>
      </c>
      <c r="D493">
        <v>85</v>
      </c>
      <c r="E493">
        <v>150</v>
      </c>
      <c r="F493">
        <v>150</v>
      </c>
      <c r="G493">
        <v>60</v>
      </c>
      <c r="H493">
        <v>0</v>
      </c>
      <c r="I493">
        <v>945</v>
      </c>
      <c r="J493">
        <v>17809.54</v>
      </c>
      <c r="K493">
        <v>221481.53</v>
      </c>
      <c r="L493">
        <v>155037.07</v>
      </c>
      <c r="M493">
        <v>36700.230000000003</v>
      </c>
      <c r="N493">
        <v>98652.15</v>
      </c>
      <c r="O493">
        <v>255669.3</v>
      </c>
      <c r="P493">
        <v>23712000</v>
      </c>
      <c r="Q493">
        <v>46058.64</v>
      </c>
      <c r="R493">
        <v>10451.219999999999</v>
      </c>
      <c r="S493">
        <v>45074.02</v>
      </c>
      <c r="T493">
        <v>357336.2</v>
      </c>
      <c r="U493">
        <v>78</v>
      </c>
      <c r="V493">
        <v>61218.18</v>
      </c>
      <c r="W493">
        <v>20449.28</v>
      </c>
      <c r="X493">
        <v>75251.06</v>
      </c>
      <c r="Y493">
        <v>1633460</v>
      </c>
      <c r="Z493">
        <v>46058.64</v>
      </c>
      <c r="AA493">
        <v>10451.219999999999</v>
      </c>
      <c r="AB493">
        <v>45074.02</v>
      </c>
      <c r="AC493">
        <v>357336.2</v>
      </c>
      <c r="AD493">
        <v>1.01</v>
      </c>
      <c r="AE493">
        <v>1.44</v>
      </c>
      <c r="AF493">
        <v>1.1599999999999999</v>
      </c>
      <c r="AG493">
        <v>3.66</v>
      </c>
      <c r="AH493">
        <v>4006.56</v>
      </c>
      <c r="AI493">
        <v>1256.96</v>
      </c>
      <c r="AJ493">
        <v>2494.2800000000002</v>
      </c>
      <c r="AK493">
        <v>81898.8</v>
      </c>
      <c r="AL493">
        <v>107276.82</v>
      </c>
      <c r="AM493">
        <v>30900.5</v>
      </c>
      <c r="AN493">
        <v>120325.079999999</v>
      </c>
      <c r="AO493">
        <v>1990796.2</v>
      </c>
      <c r="AP493">
        <v>89812.33</v>
      </c>
      <c r="AQ493">
        <v>14993.99</v>
      </c>
      <c r="AR493">
        <v>20906.809999999899</v>
      </c>
      <c r="AS493">
        <v>-1459689.5</v>
      </c>
      <c r="AT493">
        <v>35.380175999999999</v>
      </c>
      <c r="AU493">
        <v>34.354150896</v>
      </c>
      <c r="AV493">
        <v>7335470.0700684004</v>
      </c>
      <c r="AW493">
        <v>89759641.920000002</v>
      </c>
      <c r="AX493">
        <v>12.236385816125701</v>
      </c>
      <c r="AY493">
        <v>230099.2568</v>
      </c>
      <c r="AZ493">
        <v>1.03890946030578</v>
      </c>
      <c r="BA493">
        <v>256256.70731707299</v>
      </c>
      <c r="BB493">
        <v>1.1570116357651701</v>
      </c>
      <c r="BC493">
        <v>24.849111451420701</v>
      </c>
    </row>
    <row r="494" spans="1:55" x14ac:dyDescent="0.2">
      <c r="A494" t="s">
        <v>1023</v>
      </c>
      <c r="B494" t="s">
        <v>1024</v>
      </c>
      <c r="C494">
        <v>463</v>
      </c>
      <c r="D494">
        <v>0</v>
      </c>
      <c r="E494">
        <v>400</v>
      </c>
      <c r="F494">
        <v>0</v>
      </c>
      <c r="G494">
        <v>0</v>
      </c>
      <c r="H494">
        <v>0</v>
      </c>
      <c r="I494">
        <v>863</v>
      </c>
      <c r="J494">
        <v>16003</v>
      </c>
      <c r="K494">
        <v>195907.62</v>
      </c>
      <c r="L494">
        <v>137135.32999999999</v>
      </c>
      <c r="M494">
        <v>33194.730000000003</v>
      </c>
      <c r="N494">
        <v>89826.77</v>
      </c>
      <c r="O494">
        <v>218600.82</v>
      </c>
      <c r="P494">
        <v>10828000</v>
      </c>
      <c r="Q494">
        <v>43681.8</v>
      </c>
      <c r="R494">
        <v>6489.28</v>
      </c>
      <c r="S494">
        <v>66543.33</v>
      </c>
      <c r="T494">
        <v>567978.06000000006</v>
      </c>
      <c r="U494">
        <v>73</v>
      </c>
      <c r="V494">
        <v>21128.85</v>
      </c>
      <c r="W494">
        <v>9933.7099999999991</v>
      </c>
      <c r="X494">
        <v>37054.33</v>
      </c>
      <c r="Y494">
        <v>1174701.1000000001</v>
      </c>
      <c r="Z494">
        <v>43681.8</v>
      </c>
      <c r="AA494">
        <v>6489.28</v>
      </c>
      <c r="AB494">
        <v>66543.33</v>
      </c>
      <c r="AC494">
        <v>567978.06000000006</v>
      </c>
      <c r="AD494">
        <v>1.3</v>
      </c>
      <c r="AE494">
        <v>1.33</v>
      </c>
      <c r="AF494">
        <v>1.43</v>
      </c>
      <c r="AG494">
        <v>5.55</v>
      </c>
      <c r="AH494">
        <v>43580.41</v>
      </c>
      <c r="AI494">
        <v>11248.13</v>
      </c>
      <c r="AJ494">
        <v>55753.71</v>
      </c>
      <c r="AK494">
        <v>1412102.8</v>
      </c>
      <c r="AL494">
        <v>64810.65</v>
      </c>
      <c r="AM494">
        <v>16422.9899999999</v>
      </c>
      <c r="AN494">
        <v>103597.66</v>
      </c>
      <c r="AO494">
        <v>1742679.16</v>
      </c>
      <c r="AP494">
        <v>72426.070000000007</v>
      </c>
      <c r="AQ494">
        <v>12012.89</v>
      </c>
      <c r="AR494">
        <v>-2981.26999999999</v>
      </c>
      <c r="AS494">
        <v>-2368203.08</v>
      </c>
      <c r="AT494">
        <v>33.112215999999997</v>
      </c>
      <c r="AU494">
        <v>32.151961735999997</v>
      </c>
      <c r="AV494">
        <v>5433520.7735753199</v>
      </c>
      <c r="AW494">
        <v>40988419.479999997</v>
      </c>
      <c r="AX494">
        <v>7.54362064452532</v>
      </c>
      <c r="AY494">
        <v>206758.76</v>
      </c>
      <c r="AZ494">
        <v>1.05538906551975</v>
      </c>
      <c r="BA494">
        <v>222409.63414634101</v>
      </c>
      <c r="BB494">
        <v>1.13527811805554</v>
      </c>
      <c r="BC494">
        <v>26.262778689508799</v>
      </c>
    </row>
    <row r="495" spans="1:55" x14ac:dyDescent="0.2">
      <c r="A495" t="s">
        <v>1025</v>
      </c>
      <c r="B495" t="s">
        <v>1026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0.7</v>
      </c>
      <c r="M495">
        <v>1</v>
      </c>
      <c r="N495">
        <v>1</v>
      </c>
      <c r="O495">
        <v>0</v>
      </c>
      <c r="P495">
        <v>2362500</v>
      </c>
      <c r="Q495">
        <v>9108.36</v>
      </c>
      <c r="R495">
        <v>1480.6</v>
      </c>
      <c r="S495">
        <v>20306.509999999998</v>
      </c>
      <c r="T495">
        <v>89112.08</v>
      </c>
      <c r="U495">
        <v>1</v>
      </c>
      <c r="V495">
        <v>29562.62</v>
      </c>
      <c r="W495">
        <v>7736.6</v>
      </c>
      <c r="X495">
        <v>54250.559999999998</v>
      </c>
      <c r="Y495">
        <v>688746.24</v>
      </c>
      <c r="Z495">
        <v>9108.36</v>
      </c>
      <c r="AA495">
        <v>1480.6</v>
      </c>
      <c r="AB495">
        <v>20306.509999999998</v>
      </c>
      <c r="AC495">
        <v>89112.08</v>
      </c>
      <c r="AD495">
        <v>1.1599999999999999</v>
      </c>
      <c r="AE495">
        <v>1.27</v>
      </c>
      <c r="AF495">
        <v>0.86</v>
      </c>
      <c r="AG495">
        <v>3.76</v>
      </c>
      <c r="AH495">
        <v>0</v>
      </c>
      <c r="AI495">
        <v>0</v>
      </c>
      <c r="AJ495">
        <v>0</v>
      </c>
      <c r="AK495">
        <v>0</v>
      </c>
      <c r="AL495">
        <v>38670.979999999901</v>
      </c>
      <c r="AM495">
        <v>9217.2000000000007</v>
      </c>
      <c r="AN495">
        <v>74557.069999999905</v>
      </c>
      <c r="AO495">
        <v>777858.32</v>
      </c>
      <c r="AP495">
        <v>-29561.9199999999</v>
      </c>
      <c r="AQ495">
        <v>-7735.6</v>
      </c>
      <c r="AR495">
        <v>-54249.56</v>
      </c>
      <c r="AS495">
        <v>-688746.24</v>
      </c>
      <c r="AT495">
        <v>0.453592</v>
      </c>
      <c r="AU495">
        <v>0.44043783199999997</v>
      </c>
      <c r="AV495">
        <v>0</v>
      </c>
      <c r="AW495">
        <v>8943031.125</v>
      </c>
    </row>
    <row r="496" spans="1:55" x14ac:dyDescent="0.2">
      <c r="A496" t="s">
        <v>1027</v>
      </c>
      <c r="B496" t="s">
        <v>1028</v>
      </c>
      <c r="C496">
        <v>202</v>
      </c>
      <c r="D496">
        <v>13</v>
      </c>
      <c r="E496">
        <v>0</v>
      </c>
      <c r="F496">
        <v>16</v>
      </c>
      <c r="G496">
        <v>15</v>
      </c>
      <c r="H496">
        <v>0</v>
      </c>
      <c r="I496">
        <v>246</v>
      </c>
      <c r="J496">
        <v>6143.02</v>
      </c>
      <c r="K496">
        <v>79751.179999999993</v>
      </c>
      <c r="L496">
        <v>55825.83</v>
      </c>
      <c r="M496">
        <v>13441.02</v>
      </c>
      <c r="N496">
        <v>41851.629999999997</v>
      </c>
      <c r="O496">
        <v>98369.82</v>
      </c>
      <c r="P496">
        <v>528000</v>
      </c>
      <c r="Q496">
        <v>2694</v>
      </c>
      <c r="R496">
        <v>335.87</v>
      </c>
      <c r="S496">
        <v>2854.89</v>
      </c>
      <c r="T496">
        <v>20884.2</v>
      </c>
      <c r="U496">
        <v>93</v>
      </c>
      <c r="V496">
        <v>0</v>
      </c>
      <c r="W496">
        <v>0</v>
      </c>
      <c r="X496">
        <v>0</v>
      </c>
      <c r="Y496">
        <v>0</v>
      </c>
      <c r="Z496">
        <v>2694</v>
      </c>
      <c r="AA496">
        <v>335.87</v>
      </c>
      <c r="AB496">
        <v>2854.89</v>
      </c>
      <c r="AC496">
        <v>20884.2</v>
      </c>
      <c r="AD496">
        <v>1.27</v>
      </c>
      <c r="AE496">
        <v>0.62</v>
      </c>
      <c r="AF496">
        <v>0.74</v>
      </c>
      <c r="AG496">
        <v>1.67</v>
      </c>
      <c r="AH496">
        <v>40551.32</v>
      </c>
      <c r="AI496">
        <v>11312.6</v>
      </c>
      <c r="AJ496">
        <v>6091.4</v>
      </c>
      <c r="AK496">
        <v>986806.8</v>
      </c>
      <c r="AL496">
        <v>2694</v>
      </c>
      <c r="AM496">
        <v>335.87</v>
      </c>
      <c r="AN496">
        <v>2854.89</v>
      </c>
      <c r="AO496">
        <v>20884.2</v>
      </c>
      <c r="AP496">
        <v>15274.51</v>
      </c>
      <c r="AQ496">
        <v>2128.42</v>
      </c>
      <c r="AR496">
        <v>35760.229999999901</v>
      </c>
      <c r="AS496">
        <v>-888436.98</v>
      </c>
      <c r="AT496">
        <v>42.184055999999998</v>
      </c>
      <c r="AU496">
        <v>40.960718375999903</v>
      </c>
      <c r="AV496">
        <v>3214392.3745566001</v>
      </c>
      <c r="AW496">
        <v>1998696.48</v>
      </c>
      <c r="AX496">
        <v>0.62179604948686495</v>
      </c>
      <c r="AY496">
        <v>79367.818400000004</v>
      </c>
      <c r="AZ496">
        <v>0.99519302911881602</v>
      </c>
      <c r="BA496">
        <v>81279.2682926829</v>
      </c>
      <c r="BB496">
        <v>1.01916069822017</v>
      </c>
      <c r="BC496">
        <v>27.1404978448275</v>
      </c>
    </row>
    <row r="497" spans="1:55" x14ac:dyDescent="0.2">
      <c r="A497" t="s">
        <v>1029</v>
      </c>
      <c r="B497" t="s">
        <v>1030</v>
      </c>
      <c r="C497">
        <v>485</v>
      </c>
      <c r="D497">
        <v>60</v>
      </c>
      <c r="E497">
        <v>180</v>
      </c>
      <c r="F497">
        <v>160</v>
      </c>
      <c r="G497">
        <v>65</v>
      </c>
      <c r="H497">
        <v>60</v>
      </c>
      <c r="I497">
        <v>1010</v>
      </c>
      <c r="J497">
        <v>18515.32</v>
      </c>
      <c r="K497">
        <v>230008.19</v>
      </c>
      <c r="L497">
        <v>161005.73000000001</v>
      </c>
      <c r="M497">
        <v>38146.29</v>
      </c>
      <c r="N497">
        <v>100485.36</v>
      </c>
      <c r="O497">
        <v>242822.7</v>
      </c>
      <c r="P497">
        <v>12300000</v>
      </c>
      <c r="Q497">
        <v>65511.89</v>
      </c>
      <c r="R497">
        <v>5545.15</v>
      </c>
      <c r="S497">
        <v>86154.22</v>
      </c>
      <c r="T497">
        <v>589900.21</v>
      </c>
      <c r="U497">
        <v>93</v>
      </c>
      <c r="V497">
        <v>7651.23</v>
      </c>
      <c r="W497">
        <v>13854.93</v>
      </c>
      <c r="X497">
        <v>28123.439999999999</v>
      </c>
      <c r="Y497">
        <v>41358</v>
      </c>
      <c r="Z497">
        <v>65511.89</v>
      </c>
      <c r="AA497">
        <v>5545.15</v>
      </c>
      <c r="AB497">
        <v>86154.22</v>
      </c>
      <c r="AC497">
        <v>589900.21</v>
      </c>
      <c r="AD497">
        <v>1.0900000000000001</v>
      </c>
      <c r="AE497">
        <v>1.82</v>
      </c>
      <c r="AF497">
        <v>1.36</v>
      </c>
      <c r="AG497">
        <v>1.98</v>
      </c>
      <c r="AH497">
        <v>0</v>
      </c>
      <c r="AI497">
        <v>0</v>
      </c>
      <c r="AJ497">
        <v>0</v>
      </c>
      <c r="AK497">
        <v>0</v>
      </c>
      <c r="AL497">
        <v>73163.12</v>
      </c>
      <c r="AM497">
        <v>19400.080000000002</v>
      </c>
      <c r="AN497">
        <v>114277.66</v>
      </c>
      <c r="AO497">
        <v>631258.21</v>
      </c>
      <c r="AP497">
        <v>153354.5</v>
      </c>
      <c r="AQ497">
        <v>24291.360000000001</v>
      </c>
      <c r="AR497">
        <v>72361.919999999998</v>
      </c>
      <c r="AS497">
        <v>201464.69999999899</v>
      </c>
      <c r="AT497">
        <v>42.184055999999998</v>
      </c>
      <c r="AU497">
        <v>40.960718375999903</v>
      </c>
      <c r="AV497">
        <v>8148110.9029457904</v>
      </c>
      <c r="AW497">
        <v>46560543</v>
      </c>
      <c r="AX497">
        <v>5.7142745790520397</v>
      </c>
      <c r="AY497">
        <v>239217.9344</v>
      </c>
      <c r="AZ497">
        <v>1.04004094115083</v>
      </c>
      <c r="BA497">
        <v>249891.463414634</v>
      </c>
      <c r="BB497">
        <v>1.0864459366191801</v>
      </c>
      <c r="BC497">
        <v>25.891136425648</v>
      </c>
    </row>
    <row r="498" spans="1:55" x14ac:dyDescent="0.2">
      <c r="A498" t="s">
        <v>1031</v>
      </c>
      <c r="B498" t="s">
        <v>1032</v>
      </c>
      <c r="C498">
        <v>575</v>
      </c>
      <c r="D498">
        <v>100</v>
      </c>
      <c r="E498">
        <v>300</v>
      </c>
      <c r="F498">
        <v>0</v>
      </c>
      <c r="G498">
        <v>0</v>
      </c>
      <c r="H498">
        <v>0</v>
      </c>
      <c r="I498">
        <v>975</v>
      </c>
      <c r="J498">
        <v>19621.189999999999</v>
      </c>
      <c r="K498">
        <v>244643.55</v>
      </c>
      <c r="L498">
        <v>171250.49</v>
      </c>
      <c r="M498">
        <v>40796.89</v>
      </c>
      <c r="N498">
        <v>112313.55</v>
      </c>
      <c r="O498">
        <v>294538.5</v>
      </c>
      <c r="P498">
        <v>7846098</v>
      </c>
      <c r="Q498">
        <v>30224.58</v>
      </c>
      <c r="R498">
        <v>1029.23</v>
      </c>
      <c r="S498">
        <v>11177.88</v>
      </c>
      <c r="T498">
        <v>318950.53999999998</v>
      </c>
      <c r="U498">
        <v>75</v>
      </c>
      <c r="V498">
        <v>0</v>
      </c>
      <c r="W498">
        <v>0</v>
      </c>
      <c r="X498">
        <v>0</v>
      </c>
      <c r="Y498">
        <v>0</v>
      </c>
      <c r="Z498">
        <v>30224.58</v>
      </c>
      <c r="AA498">
        <v>1029.23</v>
      </c>
      <c r="AB498">
        <v>11177.88</v>
      </c>
      <c r="AC498">
        <v>318950.53999999998</v>
      </c>
      <c r="AD498">
        <v>1.35</v>
      </c>
      <c r="AE498">
        <v>0.18</v>
      </c>
      <c r="AF498">
        <v>0.25</v>
      </c>
      <c r="AG498">
        <v>1.92</v>
      </c>
      <c r="AH498">
        <v>0</v>
      </c>
      <c r="AI498">
        <v>0</v>
      </c>
      <c r="AJ498">
        <v>0</v>
      </c>
      <c r="AK498">
        <v>0</v>
      </c>
      <c r="AL498">
        <v>30224.58</v>
      </c>
      <c r="AM498">
        <v>1029.23</v>
      </c>
      <c r="AN498">
        <v>11177.88</v>
      </c>
      <c r="AO498">
        <v>318950.53999999998</v>
      </c>
      <c r="AP498">
        <v>171250.49</v>
      </c>
      <c r="AQ498">
        <v>40796.89</v>
      </c>
      <c r="AR498">
        <v>112313.55</v>
      </c>
      <c r="AS498">
        <v>294538.5</v>
      </c>
      <c r="AT498">
        <v>34.019399999999997</v>
      </c>
      <c r="AU498">
        <v>33.032837399999998</v>
      </c>
      <c r="AV498">
        <v>8138465.314425</v>
      </c>
      <c r="AW498">
        <v>29700697.830180001</v>
      </c>
      <c r="AX498">
        <v>3.6494224258149801</v>
      </c>
      <c r="AY498">
        <v>253505.774799999</v>
      </c>
      <c r="AZ498">
        <v>1.0362250498735801</v>
      </c>
      <c r="BA498">
        <v>286435.97560975602</v>
      </c>
      <c r="BB498">
        <v>1.1708298690472501</v>
      </c>
      <c r="BC498">
        <v>25.0029149961149</v>
      </c>
    </row>
    <row r="499" spans="1:55" x14ac:dyDescent="0.2">
      <c r="A499" t="s">
        <v>1033</v>
      </c>
      <c r="B499" t="s">
        <v>1034</v>
      </c>
      <c r="C499">
        <v>0</v>
      </c>
      <c r="D499">
        <v>0</v>
      </c>
      <c r="E499">
        <v>65</v>
      </c>
      <c r="F499">
        <v>60</v>
      </c>
      <c r="G499">
        <v>0</v>
      </c>
      <c r="H499">
        <v>0</v>
      </c>
      <c r="I499">
        <v>125</v>
      </c>
      <c r="J499">
        <v>1311.92</v>
      </c>
      <c r="K499">
        <v>11895</v>
      </c>
      <c r="L499">
        <v>8326.5</v>
      </c>
      <c r="M499">
        <v>2013</v>
      </c>
      <c r="N499">
        <v>1</v>
      </c>
      <c r="O499">
        <v>0</v>
      </c>
      <c r="P499">
        <v>7650000</v>
      </c>
      <c r="Q499">
        <v>2502.5</v>
      </c>
      <c r="R499">
        <v>727.77</v>
      </c>
      <c r="S499">
        <v>6358.39</v>
      </c>
      <c r="T499">
        <v>0</v>
      </c>
      <c r="U499">
        <v>1</v>
      </c>
      <c r="V499">
        <v>20160</v>
      </c>
      <c r="W499">
        <v>3564</v>
      </c>
      <c r="X499">
        <v>10380</v>
      </c>
      <c r="Y499">
        <v>0</v>
      </c>
      <c r="Z499">
        <v>2502.5</v>
      </c>
      <c r="AA499">
        <v>727.77</v>
      </c>
      <c r="AB499">
        <v>6358.39</v>
      </c>
      <c r="AC499">
        <v>0</v>
      </c>
      <c r="AD499">
        <v>1.47</v>
      </c>
      <c r="AE499">
        <v>1.26</v>
      </c>
      <c r="AF499">
        <v>0.66</v>
      </c>
      <c r="AG499">
        <v>1.04</v>
      </c>
      <c r="AH499">
        <v>0</v>
      </c>
      <c r="AI499">
        <v>0</v>
      </c>
      <c r="AJ499">
        <v>0</v>
      </c>
      <c r="AK499">
        <v>0</v>
      </c>
      <c r="AL499">
        <v>22662.5</v>
      </c>
      <c r="AM499">
        <v>4291.7700000000004</v>
      </c>
      <c r="AN499">
        <v>16738.39</v>
      </c>
      <c r="AO499">
        <v>0</v>
      </c>
      <c r="AP499">
        <v>-11833.5</v>
      </c>
      <c r="AQ499">
        <v>-1551</v>
      </c>
      <c r="AR499">
        <v>-10379</v>
      </c>
      <c r="AS499">
        <v>0</v>
      </c>
      <c r="AT499">
        <v>0.453592</v>
      </c>
      <c r="AU499">
        <v>0.44043783199999997</v>
      </c>
      <c r="AV499">
        <v>0</v>
      </c>
      <c r="AW499">
        <v>28958386.5</v>
      </c>
      <c r="AY499">
        <v>16950.006399999998</v>
      </c>
      <c r="AZ499">
        <v>1.4249690121899901</v>
      </c>
      <c r="BA499">
        <v>16692.073170731699</v>
      </c>
      <c r="BB499">
        <v>1.40328483991019</v>
      </c>
      <c r="BC499">
        <v>28.687317333333301</v>
      </c>
    </row>
    <row r="500" spans="1:55" x14ac:dyDescent="0.2">
      <c r="A500" t="s">
        <v>1035</v>
      </c>
      <c r="B500" t="s">
        <v>1036</v>
      </c>
      <c r="C500">
        <v>410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410</v>
      </c>
      <c r="J500">
        <v>10788.65</v>
      </c>
      <c r="K500">
        <v>141036.82999999999</v>
      </c>
      <c r="L500">
        <v>98725.78</v>
      </c>
      <c r="M500">
        <v>23922.67</v>
      </c>
      <c r="N500">
        <v>80084.44</v>
      </c>
      <c r="O500">
        <v>193577.4</v>
      </c>
      <c r="P500">
        <v>3537000</v>
      </c>
      <c r="Q500">
        <v>19887.43</v>
      </c>
      <c r="R500">
        <v>2650.61</v>
      </c>
      <c r="S500">
        <v>35712.43</v>
      </c>
      <c r="T500">
        <v>158351.38</v>
      </c>
      <c r="U500">
        <v>75</v>
      </c>
      <c r="V500">
        <v>12315.04</v>
      </c>
      <c r="W500">
        <v>3737.38</v>
      </c>
      <c r="X500">
        <v>7806.94</v>
      </c>
      <c r="Y500">
        <v>583192.88</v>
      </c>
      <c r="Z500">
        <v>19887.43</v>
      </c>
      <c r="AA500">
        <v>2650.61</v>
      </c>
      <c r="AB500">
        <v>35712.43</v>
      </c>
      <c r="AC500">
        <v>158351.38</v>
      </c>
      <c r="AD500">
        <v>1.23</v>
      </c>
      <c r="AE500">
        <v>2.1800000000000002</v>
      </c>
      <c r="AF500">
        <v>2.61</v>
      </c>
      <c r="AG500">
        <v>5.54</v>
      </c>
      <c r="AH500">
        <v>0</v>
      </c>
      <c r="AI500">
        <v>0</v>
      </c>
      <c r="AJ500">
        <v>0</v>
      </c>
      <c r="AK500">
        <v>0</v>
      </c>
      <c r="AL500">
        <v>32202.47</v>
      </c>
      <c r="AM500">
        <v>6387.99</v>
      </c>
      <c r="AN500">
        <v>43519.37</v>
      </c>
      <c r="AO500">
        <v>741544.26</v>
      </c>
      <c r="AP500">
        <v>86410.739999999903</v>
      </c>
      <c r="AQ500">
        <v>20185.29</v>
      </c>
      <c r="AR500">
        <v>72277.5</v>
      </c>
      <c r="AS500">
        <v>-389615.48</v>
      </c>
      <c r="AT500">
        <v>34.019399999999997</v>
      </c>
      <c r="AU500">
        <v>33.032837399999998</v>
      </c>
      <c r="AV500">
        <v>4943364.1169100003</v>
      </c>
      <c r="AW500">
        <v>13388995.17</v>
      </c>
      <c r="AX500">
        <v>2.7084784477436301</v>
      </c>
      <c r="AY500">
        <v>139389.35800000001</v>
      </c>
      <c r="AZ500">
        <v>0.98831885260041596</v>
      </c>
      <c r="BA500">
        <v>149650</v>
      </c>
      <c r="BB500">
        <v>1.06107036013217</v>
      </c>
      <c r="BC500">
        <v>26.313780487804799</v>
      </c>
    </row>
    <row r="501" spans="1:55" x14ac:dyDescent="0.2">
      <c r="A501" t="s">
        <v>1037</v>
      </c>
      <c r="B501" t="s">
        <v>1038</v>
      </c>
      <c r="C501">
        <v>1000</v>
      </c>
      <c r="D501">
        <v>200</v>
      </c>
      <c r="E501">
        <v>375</v>
      </c>
      <c r="F501">
        <v>375</v>
      </c>
      <c r="G501">
        <v>150</v>
      </c>
      <c r="H501">
        <v>0</v>
      </c>
      <c r="I501">
        <v>2100</v>
      </c>
      <c r="J501">
        <v>36479.230000000003</v>
      </c>
      <c r="K501">
        <v>451954.95</v>
      </c>
      <c r="L501">
        <v>316368.46999999997</v>
      </c>
      <c r="M501">
        <v>74386.100000000006</v>
      </c>
      <c r="N501">
        <v>192033.91</v>
      </c>
      <c r="O501">
        <v>518256</v>
      </c>
      <c r="P501">
        <v>37440000</v>
      </c>
      <c r="Q501">
        <v>218003.18</v>
      </c>
      <c r="R501">
        <v>41010.050000000003</v>
      </c>
      <c r="S501">
        <v>403926.71</v>
      </c>
      <c r="T501">
        <v>2521148.67</v>
      </c>
      <c r="U501">
        <v>70</v>
      </c>
      <c r="V501">
        <v>34284.39</v>
      </c>
      <c r="W501">
        <v>10854.5</v>
      </c>
      <c r="X501">
        <v>80536.679999999993</v>
      </c>
      <c r="Y501">
        <v>897597.36</v>
      </c>
      <c r="Z501">
        <v>105814.33</v>
      </c>
      <c r="AA501">
        <v>16928.39</v>
      </c>
      <c r="AB501">
        <v>223674.71</v>
      </c>
      <c r="AC501">
        <v>1298319.1100000001</v>
      </c>
      <c r="AD501">
        <v>1.1399999999999999</v>
      </c>
      <c r="AE501">
        <v>1.0900000000000001</v>
      </c>
      <c r="AF501">
        <v>1.27</v>
      </c>
      <c r="AG501">
        <v>5.2</v>
      </c>
      <c r="AH501">
        <v>112188.84</v>
      </c>
      <c r="AI501">
        <v>24081.67</v>
      </c>
      <c r="AJ501">
        <v>180252</v>
      </c>
      <c r="AK501">
        <v>1222829.57</v>
      </c>
      <c r="AL501">
        <v>140098.72</v>
      </c>
      <c r="AM501">
        <v>27782.89</v>
      </c>
      <c r="AN501">
        <v>304211.39</v>
      </c>
      <c r="AO501">
        <v>2195916.4700000002</v>
      </c>
      <c r="AP501">
        <v>282084.08999999898</v>
      </c>
      <c r="AQ501">
        <v>63531.59</v>
      </c>
      <c r="AR501">
        <v>111497.22999999901</v>
      </c>
      <c r="AS501">
        <v>-379341.37</v>
      </c>
      <c r="AT501">
        <v>31.751439999999999</v>
      </c>
      <c r="AU501">
        <v>30.830648239999999</v>
      </c>
      <c r="AV501">
        <v>13503823.9291199</v>
      </c>
      <c r="AW501">
        <v>141725750.40000001</v>
      </c>
      <c r="AX501">
        <v>10.4952309171018</v>
      </c>
      <c r="AY501">
        <v>471311.65159999998</v>
      </c>
      <c r="AZ501">
        <v>1.04282882973181</v>
      </c>
      <c r="BA501">
        <v>544829.26829268294</v>
      </c>
      <c r="BB501">
        <v>1.2054946367833399</v>
      </c>
      <c r="BC501">
        <v>23.854041945773499</v>
      </c>
    </row>
    <row r="502" spans="1:55" x14ac:dyDescent="0.2">
      <c r="A502" t="s">
        <v>1039</v>
      </c>
      <c r="B502" t="s">
        <v>1040</v>
      </c>
      <c r="C502">
        <v>2600</v>
      </c>
      <c r="D502">
        <v>520</v>
      </c>
      <c r="E502">
        <v>1300</v>
      </c>
      <c r="F502">
        <v>900</v>
      </c>
      <c r="G502">
        <v>400</v>
      </c>
      <c r="H502">
        <v>550</v>
      </c>
      <c r="I502">
        <v>6270</v>
      </c>
      <c r="J502">
        <v>99842.95</v>
      </c>
      <c r="K502">
        <v>1235568.32</v>
      </c>
      <c r="L502">
        <v>864897.82</v>
      </c>
      <c r="M502">
        <v>200930.14</v>
      </c>
      <c r="N502">
        <v>502713.92</v>
      </c>
      <c r="O502">
        <v>1347465.6</v>
      </c>
      <c r="P502">
        <v>81905250</v>
      </c>
      <c r="Q502">
        <v>404751.33</v>
      </c>
      <c r="R502">
        <v>23559.43</v>
      </c>
      <c r="S502">
        <v>880695.24</v>
      </c>
      <c r="T502">
        <v>4872822.16</v>
      </c>
      <c r="U502">
        <v>72</v>
      </c>
      <c r="V502">
        <v>215696.74</v>
      </c>
      <c r="W502">
        <v>58064.67</v>
      </c>
      <c r="X502">
        <v>387407.95</v>
      </c>
      <c r="Y502">
        <v>6066068.2800000003</v>
      </c>
      <c r="Z502">
        <v>404751.33</v>
      </c>
      <c r="AA502">
        <v>23559.43</v>
      </c>
      <c r="AB502">
        <v>880695.24</v>
      </c>
      <c r="AC502">
        <v>4872822.16</v>
      </c>
      <c r="AD502">
        <v>1.18</v>
      </c>
      <c r="AE502">
        <v>0.71</v>
      </c>
      <c r="AF502">
        <v>1.88</v>
      </c>
      <c r="AG502">
        <v>3.92</v>
      </c>
      <c r="AH502">
        <v>0</v>
      </c>
      <c r="AI502">
        <v>0</v>
      </c>
      <c r="AJ502">
        <v>0</v>
      </c>
      <c r="AK502">
        <v>0</v>
      </c>
      <c r="AL502">
        <v>620448.06999999995</v>
      </c>
      <c r="AM502">
        <v>81624.100000000006</v>
      </c>
      <c r="AN502">
        <v>1268103.19</v>
      </c>
      <c r="AO502">
        <v>10938890.439999999</v>
      </c>
      <c r="AP502">
        <v>649201.07999999903</v>
      </c>
      <c r="AQ502">
        <v>142865.47</v>
      </c>
      <c r="AR502">
        <v>115305.969999999</v>
      </c>
      <c r="AS502">
        <v>-4718602.68</v>
      </c>
      <c r="AT502">
        <v>32.658624000000003</v>
      </c>
      <c r="AU502">
        <v>31.711523904</v>
      </c>
      <c r="AV502">
        <v>36113083.421875201</v>
      </c>
      <c r="AW502">
        <v>310044952.40249997</v>
      </c>
      <c r="AX502">
        <v>8.5853913048779606</v>
      </c>
      <c r="AY502">
        <v>1289970.9139999901</v>
      </c>
      <c r="AZ502">
        <v>1.04403042156341</v>
      </c>
      <c r="BA502">
        <v>1474867.0731707299</v>
      </c>
      <c r="BB502">
        <v>1.1936750475851701</v>
      </c>
      <c r="BC502">
        <v>23.369075469543802</v>
      </c>
    </row>
    <row r="503" spans="1:55" x14ac:dyDescent="0.2">
      <c r="A503" t="s">
        <v>1041</v>
      </c>
      <c r="B503" t="s">
        <v>1042</v>
      </c>
      <c r="C503">
        <v>1329</v>
      </c>
      <c r="D503">
        <v>310</v>
      </c>
      <c r="E503">
        <v>425</v>
      </c>
      <c r="F503">
        <v>750</v>
      </c>
      <c r="G503">
        <v>360</v>
      </c>
      <c r="H503">
        <v>0</v>
      </c>
      <c r="I503">
        <v>3174</v>
      </c>
      <c r="J503">
        <v>52112.49</v>
      </c>
      <c r="K503">
        <v>642110.24</v>
      </c>
      <c r="L503">
        <v>449477.17</v>
      </c>
      <c r="M503">
        <v>104883.45</v>
      </c>
      <c r="N503">
        <v>258715.25</v>
      </c>
      <c r="O503">
        <v>698953.86</v>
      </c>
      <c r="P503">
        <v>29518500</v>
      </c>
      <c r="Q503">
        <v>149056.42000000001</v>
      </c>
      <c r="R503">
        <v>18446.560000000001</v>
      </c>
      <c r="S503">
        <v>314465.51</v>
      </c>
      <c r="T503">
        <v>1879507.13</v>
      </c>
      <c r="U503">
        <v>74</v>
      </c>
      <c r="V503">
        <v>23403.32</v>
      </c>
      <c r="W503">
        <v>4060.87</v>
      </c>
      <c r="X503">
        <v>20270.59</v>
      </c>
      <c r="Y503">
        <v>970234.8</v>
      </c>
      <c r="Z503">
        <v>149056.42000000001</v>
      </c>
      <c r="AA503">
        <v>18446.560000000001</v>
      </c>
      <c r="AB503">
        <v>314465.51</v>
      </c>
      <c r="AC503">
        <v>1879507.13</v>
      </c>
      <c r="AD503">
        <v>1.1299999999999999</v>
      </c>
      <c r="AE503">
        <v>0.77</v>
      </c>
      <c r="AF503">
        <v>1.23</v>
      </c>
      <c r="AG503">
        <v>2.16</v>
      </c>
      <c r="AH503">
        <v>200039.52</v>
      </c>
      <c r="AI503">
        <v>39435.85</v>
      </c>
      <c r="AJ503">
        <v>159874.45000000001</v>
      </c>
      <c r="AK503">
        <v>2651235.6</v>
      </c>
      <c r="AL503">
        <v>172459.74</v>
      </c>
      <c r="AM503">
        <v>22507.43</v>
      </c>
      <c r="AN503">
        <v>334736.09999999998</v>
      </c>
      <c r="AO503">
        <v>2849741.9299999899</v>
      </c>
      <c r="AP503">
        <v>226034.33</v>
      </c>
      <c r="AQ503">
        <v>61386.729999999901</v>
      </c>
      <c r="AR503">
        <v>78570.209999999905</v>
      </c>
      <c r="AS503">
        <v>-2922516.54</v>
      </c>
      <c r="AT503">
        <v>33.565807999999997</v>
      </c>
      <c r="AU503">
        <v>32.592399567999998</v>
      </c>
      <c r="AV503">
        <v>19497914.155562401</v>
      </c>
      <c r="AW503">
        <v>111739625.08499999</v>
      </c>
      <c r="AX503">
        <v>5.7308501921536097</v>
      </c>
      <c r="AY503">
        <v>673293.37079999899</v>
      </c>
      <c r="AZ503">
        <v>1.04856351582245</v>
      </c>
      <c r="BA503">
        <v>771164.87804878002</v>
      </c>
      <c r="BB503">
        <v>1.2009851735876</v>
      </c>
      <c r="BC503">
        <v>23.681194471537498</v>
      </c>
    </row>
    <row r="504" spans="1:55" x14ac:dyDescent="0.2">
      <c r="A504" t="s">
        <v>1043</v>
      </c>
      <c r="B504" t="s">
        <v>1044</v>
      </c>
      <c r="C504">
        <v>1385</v>
      </c>
      <c r="D504">
        <v>210</v>
      </c>
      <c r="E504">
        <v>0</v>
      </c>
      <c r="F504">
        <v>0</v>
      </c>
      <c r="G504">
        <v>0</v>
      </c>
      <c r="H504">
        <v>0</v>
      </c>
      <c r="I504">
        <v>1595</v>
      </c>
      <c r="J504">
        <v>41610.74</v>
      </c>
      <c r="K504">
        <v>542562.93999999994</v>
      </c>
      <c r="L504">
        <v>379794.06</v>
      </c>
      <c r="M504">
        <v>90978.65</v>
      </c>
      <c r="N504">
        <v>282390.84999999998</v>
      </c>
      <c r="O504">
        <v>702335.7</v>
      </c>
      <c r="P504">
        <v>105672700</v>
      </c>
      <c r="Q504">
        <v>118066.13</v>
      </c>
      <c r="R504">
        <v>20492.8</v>
      </c>
      <c r="S504">
        <v>152138.76</v>
      </c>
      <c r="T504">
        <v>852349.75</v>
      </c>
      <c r="U504">
        <v>88</v>
      </c>
      <c r="V504">
        <v>0</v>
      </c>
      <c r="W504">
        <v>0</v>
      </c>
      <c r="X504">
        <v>0</v>
      </c>
      <c r="Y504">
        <v>0</v>
      </c>
      <c r="Z504">
        <v>118066.13</v>
      </c>
      <c r="AA504">
        <v>20492.8</v>
      </c>
      <c r="AB504">
        <v>152138.76</v>
      </c>
      <c r="AC504">
        <v>852349.75</v>
      </c>
      <c r="AD504">
        <v>0.88</v>
      </c>
      <c r="AE504">
        <v>1.02</v>
      </c>
      <c r="AF504">
        <v>1.1200000000000001</v>
      </c>
      <c r="AG504">
        <v>1.34</v>
      </c>
      <c r="AH504">
        <v>135320.21</v>
      </c>
      <c r="AI504">
        <v>13384.45</v>
      </c>
      <c r="AJ504">
        <v>27407.96</v>
      </c>
      <c r="AK504">
        <v>0</v>
      </c>
      <c r="AL504">
        <v>118066.13</v>
      </c>
      <c r="AM504">
        <v>20492.8</v>
      </c>
      <c r="AN504">
        <v>152138.76</v>
      </c>
      <c r="AO504">
        <v>852349.75</v>
      </c>
      <c r="AP504">
        <v>244473.85</v>
      </c>
      <c r="AQ504">
        <v>77594.2</v>
      </c>
      <c r="AR504">
        <v>254982.889999999</v>
      </c>
      <c r="AS504">
        <v>702335.7</v>
      </c>
      <c r="AT504">
        <v>39.916095999999897</v>
      </c>
      <c r="AU504">
        <v>38.7585292159999</v>
      </c>
      <c r="AV504">
        <v>22564246.746324699</v>
      </c>
      <c r="AW504">
        <v>400014495.30699998</v>
      </c>
      <c r="AX504">
        <v>17.727801854150201</v>
      </c>
      <c r="AY504">
        <v>537610.760799999</v>
      </c>
      <c r="AZ504">
        <v>0.99087261802289694</v>
      </c>
      <c r="BA504">
        <v>582175</v>
      </c>
      <c r="BB504">
        <v>1.0730091517124201</v>
      </c>
      <c r="BC504">
        <v>26.088238244514098</v>
      </c>
    </row>
    <row r="505" spans="1:55" x14ac:dyDescent="0.2">
      <c r="A505" t="s">
        <v>1045</v>
      </c>
      <c r="B505" t="s">
        <v>1046</v>
      </c>
      <c r="C505">
        <v>2990</v>
      </c>
      <c r="D505">
        <v>365</v>
      </c>
      <c r="E505">
        <v>924</v>
      </c>
      <c r="F505">
        <v>928</v>
      </c>
      <c r="G505">
        <v>348</v>
      </c>
      <c r="H505">
        <v>0</v>
      </c>
      <c r="I505">
        <v>5555</v>
      </c>
      <c r="J505">
        <v>104263.01</v>
      </c>
      <c r="K505">
        <v>1303201.54</v>
      </c>
      <c r="L505">
        <v>912241.08</v>
      </c>
      <c r="M505">
        <v>216900.73</v>
      </c>
      <c r="N505">
        <v>589939.89</v>
      </c>
      <c r="O505">
        <v>1495860.3</v>
      </c>
      <c r="P505">
        <v>244982400</v>
      </c>
      <c r="Q505">
        <v>594423.51</v>
      </c>
      <c r="R505">
        <v>92057.58</v>
      </c>
      <c r="S505">
        <v>649040.17000000004</v>
      </c>
      <c r="T505">
        <v>3825929.21</v>
      </c>
      <c r="U505">
        <v>78</v>
      </c>
      <c r="V505">
        <v>110631.18</v>
      </c>
      <c r="W505">
        <v>19123.060000000001</v>
      </c>
      <c r="X505">
        <v>80312.67</v>
      </c>
      <c r="Y505">
        <v>554823.36</v>
      </c>
      <c r="Z505">
        <v>594423.51</v>
      </c>
      <c r="AA505">
        <v>92057.58</v>
      </c>
      <c r="AB505">
        <v>649040.17000000004</v>
      </c>
      <c r="AC505">
        <v>3825929.21</v>
      </c>
      <c r="AD505">
        <v>1.07</v>
      </c>
      <c r="AE505">
        <v>0.84</v>
      </c>
      <c r="AF505">
        <v>0.86</v>
      </c>
      <c r="AG505">
        <v>1.69</v>
      </c>
      <c r="AH505">
        <v>0</v>
      </c>
      <c r="AI505">
        <v>0</v>
      </c>
      <c r="AJ505">
        <v>0</v>
      </c>
      <c r="AK505">
        <v>0</v>
      </c>
      <c r="AL505">
        <v>705054.69</v>
      </c>
      <c r="AM505">
        <v>111180.64</v>
      </c>
      <c r="AN505">
        <v>729352.84</v>
      </c>
      <c r="AO505">
        <v>4380752.57</v>
      </c>
      <c r="AP505">
        <v>801609.89999999898</v>
      </c>
      <c r="AQ505">
        <v>197777.66999999899</v>
      </c>
      <c r="AR505">
        <v>509627.22</v>
      </c>
      <c r="AS505">
        <v>941036.93999999901</v>
      </c>
      <c r="AT505">
        <v>35.380175999999999</v>
      </c>
      <c r="AU505">
        <v>34.354150896</v>
      </c>
      <c r="AV505">
        <v>42069234.333469197</v>
      </c>
      <c r="AW505">
        <v>927358826.78400004</v>
      </c>
      <c r="AX505">
        <v>22.0436345342804</v>
      </c>
      <c r="AY505">
        <v>1347078.08919999</v>
      </c>
      <c r="AZ505">
        <v>1.03366827605191</v>
      </c>
      <c r="BA505">
        <v>1487375</v>
      </c>
      <c r="BB505">
        <v>1.14132385079901</v>
      </c>
      <c r="BC505">
        <v>25.063958312567699</v>
      </c>
    </row>
    <row r="506" spans="1:55" x14ac:dyDescent="0.2">
      <c r="A506" t="s">
        <v>861</v>
      </c>
      <c r="B506" t="s">
        <v>1047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1</v>
      </c>
      <c r="L506">
        <v>0.7</v>
      </c>
      <c r="M506">
        <v>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0.7</v>
      </c>
      <c r="AQ506">
        <v>1</v>
      </c>
      <c r="AR506">
        <v>1</v>
      </c>
      <c r="AS506">
        <v>0</v>
      </c>
      <c r="AT506">
        <v>0.453592</v>
      </c>
      <c r="AU506">
        <v>0.44043783199999997</v>
      </c>
      <c r="AV506">
        <v>0</v>
      </c>
      <c r="AW506">
        <v>0</v>
      </c>
    </row>
    <row r="507" spans="1:55" x14ac:dyDescent="0.2">
      <c r="A507" t="s">
        <v>1048</v>
      </c>
      <c r="B507" t="s">
        <v>1049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1</v>
      </c>
      <c r="L507">
        <v>0.7</v>
      </c>
      <c r="M507">
        <v>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0.7</v>
      </c>
      <c r="AQ507">
        <v>1</v>
      </c>
      <c r="AR507">
        <v>1</v>
      </c>
      <c r="AS507">
        <v>0</v>
      </c>
      <c r="AT507">
        <v>0.453592</v>
      </c>
      <c r="AU507">
        <v>0.44043783199999997</v>
      </c>
      <c r="AV507">
        <v>0</v>
      </c>
      <c r="AW507">
        <v>0</v>
      </c>
    </row>
    <row r="508" spans="1:55" x14ac:dyDescent="0.2">
      <c r="A508" t="s">
        <v>1050</v>
      </c>
      <c r="B508" t="s">
        <v>1051</v>
      </c>
      <c r="C508">
        <v>350</v>
      </c>
      <c r="D508">
        <v>40</v>
      </c>
      <c r="E508">
        <v>62</v>
      </c>
      <c r="F508">
        <v>72</v>
      </c>
      <c r="G508">
        <v>62</v>
      </c>
      <c r="H508">
        <v>0</v>
      </c>
      <c r="I508">
        <v>586</v>
      </c>
      <c r="J508">
        <v>10634.02</v>
      </c>
      <c r="K508">
        <v>136106.16</v>
      </c>
      <c r="L508">
        <v>95274.31</v>
      </c>
      <c r="M508">
        <v>22384.32</v>
      </c>
      <c r="N508">
        <v>65136.65</v>
      </c>
      <c r="O508">
        <v>174472.2</v>
      </c>
      <c r="P508">
        <v>8100000</v>
      </c>
      <c r="Q508">
        <v>32332.79</v>
      </c>
      <c r="R508">
        <v>6726.85</v>
      </c>
      <c r="S508">
        <v>71483.100000000006</v>
      </c>
      <c r="T508">
        <v>361668.13</v>
      </c>
      <c r="U508">
        <v>61</v>
      </c>
      <c r="V508">
        <v>0</v>
      </c>
      <c r="W508">
        <v>0</v>
      </c>
      <c r="X508">
        <v>0</v>
      </c>
      <c r="Y508">
        <v>0</v>
      </c>
      <c r="Z508">
        <v>32332.79</v>
      </c>
      <c r="AA508">
        <v>6726.85</v>
      </c>
      <c r="AB508">
        <v>71483.100000000006</v>
      </c>
      <c r="AC508">
        <v>361668.13</v>
      </c>
      <c r="AD508">
        <v>1.21</v>
      </c>
      <c r="AE508">
        <v>1.19</v>
      </c>
      <c r="AF508">
        <v>2.15</v>
      </c>
      <c r="AG508">
        <v>3.37</v>
      </c>
      <c r="AH508">
        <v>0</v>
      </c>
      <c r="AI508">
        <v>0</v>
      </c>
      <c r="AJ508">
        <v>0</v>
      </c>
      <c r="AK508">
        <v>0</v>
      </c>
      <c r="AL508">
        <v>32332.79</v>
      </c>
      <c r="AM508">
        <v>6726.85</v>
      </c>
      <c r="AN508">
        <v>71483.100000000006</v>
      </c>
      <c r="AO508">
        <v>361668.13</v>
      </c>
      <c r="AP508">
        <v>95274.31</v>
      </c>
      <c r="AQ508">
        <v>22384.32</v>
      </c>
      <c r="AR508">
        <v>65136.6499999999</v>
      </c>
      <c r="AS508">
        <v>174472.2</v>
      </c>
      <c r="AT508">
        <v>27.669111999999998</v>
      </c>
      <c r="AU508">
        <v>26.8667077519999</v>
      </c>
      <c r="AV508">
        <v>3824475.8484971998</v>
      </c>
      <c r="AW508">
        <v>30661821</v>
      </c>
      <c r="AX508">
        <v>8.0172609828477093</v>
      </c>
      <c r="AY508">
        <v>137391.53839999999</v>
      </c>
      <c r="AZ508">
        <v>1.00944393993629</v>
      </c>
      <c r="BA508">
        <v>163003.65853658499</v>
      </c>
      <c r="BB508">
        <v>1.1976214635442299</v>
      </c>
      <c r="BC508">
        <v>23.031950343370301</v>
      </c>
    </row>
    <row r="509" spans="1:55" x14ac:dyDescent="0.2">
      <c r="A509" t="s">
        <v>1052</v>
      </c>
      <c r="B509" t="s">
        <v>1053</v>
      </c>
      <c r="C509">
        <v>1175</v>
      </c>
      <c r="D509">
        <v>175</v>
      </c>
      <c r="E509">
        <v>300</v>
      </c>
      <c r="F509">
        <v>600</v>
      </c>
      <c r="G509">
        <v>250</v>
      </c>
      <c r="H509">
        <v>0</v>
      </c>
      <c r="I509">
        <v>2500</v>
      </c>
      <c r="J509">
        <v>42507.39</v>
      </c>
      <c r="K509">
        <v>529246.13</v>
      </c>
      <c r="L509">
        <v>370472.29</v>
      </c>
      <c r="M509">
        <v>87188.34</v>
      </c>
      <c r="N509">
        <v>227188.02</v>
      </c>
      <c r="O509">
        <v>595116</v>
      </c>
      <c r="P509">
        <v>7435000</v>
      </c>
      <c r="Q509">
        <v>46877.79</v>
      </c>
      <c r="R509">
        <v>5249.95</v>
      </c>
      <c r="S509">
        <v>65048.27</v>
      </c>
      <c r="T509">
        <v>378803.75</v>
      </c>
      <c r="U509">
        <v>72</v>
      </c>
      <c r="V509">
        <v>0</v>
      </c>
      <c r="W509">
        <v>0</v>
      </c>
      <c r="X509">
        <v>0</v>
      </c>
      <c r="Y509">
        <v>0</v>
      </c>
      <c r="Z509">
        <v>46877.79</v>
      </c>
      <c r="AA509">
        <v>5249.95</v>
      </c>
      <c r="AB509">
        <v>65048.27</v>
      </c>
      <c r="AC509">
        <v>378803.75</v>
      </c>
      <c r="AD509">
        <v>1.23</v>
      </c>
      <c r="AE509">
        <v>1</v>
      </c>
      <c r="AF509">
        <v>0.88</v>
      </c>
      <c r="AG509">
        <v>2.02</v>
      </c>
      <c r="AH509">
        <v>129848.62</v>
      </c>
      <c r="AI509">
        <v>80292.86</v>
      </c>
      <c r="AJ509">
        <v>89074.9</v>
      </c>
      <c r="AK509">
        <v>3493994.16</v>
      </c>
      <c r="AL509">
        <v>46877.79</v>
      </c>
      <c r="AM509">
        <v>5249.95</v>
      </c>
      <c r="AN509">
        <v>65048.27</v>
      </c>
      <c r="AO509">
        <v>378803.75</v>
      </c>
      <c r="AP509">
        <v>240623.66999999899</v>
      </c>
      <c r="AQ509">
        <v>6895.4799999999896</v>
      </c>
      <c r="AR509">
        <v>138113.12</v>
      </c>
      <c r="AS509">
        <v>-2898878.16</v>
      </c>
      <c r="AT509">
        <v>32.658624000000003</v>
      </c>
      <c r="AU509">
        <v>31.711523904</v>
      </c>
      <c r="AV509">
        <v>15625853.403696001</v>
      </c>
      <c r="AW509">
        <v>28144523.350000001</v>
      </c>
      <c r="AX509">
        <v>1.80115111942256</v>
      </c>
      <c r="AY509">
        <v>549195.47880000004</v>
      </c>
      <c r="AZ509">
        <v>1.0376938964107301</v>
      </c>
      <c r="BA509">
        <v>624060.97560975596</v>
      </c>
      <c r="BB509">
        <v>1.1791507584755601</v>
      </c>
      <c r="BC509">
        <v>24.0055508264462</v>
      </c>
    </row>
    <row r="510" spans="1:55" x14ac:dyDescent="0.2">
      <c r="A510" t="s">
        <v>1054</v>
      </c>
      <c r="B510" t="s">
        <v>1055</v>
      </c>
      <c r="C510">
        <v>600</v>
      </c>
      <c r="D510">
        <v>100</v>
      </c>
      <c r="E510">
        <v>85</v>
      </c>
      <c r="F510">
        <v>150</v>
      </c>
      <c r="G510">
        <v>0</v>
      </c>
      <c r="H510">
        <v>0</v>
      </c>
      <c r="I510">
        <v>935</v>
      </c>
      <c r="J510">
        <v>19520.28</v>
      </c>
      <c r="K510">
        <v>247057.96</v>
      </c>
      <c r="L510">
        <v>172940.57</v>
      </c>
      <c r="M510">
        <v>41208.83</v>
      </c>
      <c r="N510">
        <v>117196.75</v>
      </c>
      <c r="O510">
        <v>306342</v>
      </c>
      <c r="P510">
        <v>13230000</v>
      </c>
      <c r="Q510">
        <v>73441.87</v>
      </c>
      <c r="R510">
        <v>8269.9599999999991</v>
      </c>
      <c r="S510">
        <v>58786.94</v>
      </c>
      <c r="T510">
        <v>454963.56</v>
      </c>
      <c r="U510">
        <v>75</v>
      </c>
      <c r="V510">
        <v>0</v>
      </c>
      <c r="W510">
        <v>0</v>
      </c>
      <c r="X510">
        <v>0</v>
      </c>
      <c r="Y510">
        <v>0</v>
      </c>
      <c r="Z510">
        <v>73441.87</v>
      </c>
      <c r="AA510">
        <v>8269.9599999999991</v>
      </c>
      <c r="AB510">
        <v>58786.94</v>
      </c>
      <c r="AC510">
        <v>454963.56</v>
      </c>
      <c r="AD510">
        <v>1.35</v>
      </c>
      <c r="AE510">
        <v>1.01</v>
      </c>
      <c r="AF510">
        <v>0.74</v>
      </c>
      <c r="AG510">
        <v>3.61</v>
      </c>
      <c r="AH510">
        <v>26766.13</v>
      </c>
      <c r="AI510">
        <v>2923.13</v>
      </c>
      <c r="AJ510">
        <v>5031.8599999999997</v>
      </c>
      <c r="AK510">
        <v>24102.54</v>
      </c>
      <c r="AL510">
        <v>73441.87</v>
      </c>
      <c r="AM510">
        <v>8269.9599999999991</v>
      </c>
      <c r="AN510">
        <v>58786.94</v>
      </c>
      <c r="AO510">
        <v>454963.56</v>
      </c>
      <c r="AP510">
        <v>146174.44</v>
      </c>
      <c r="AQ510">
        <v>38285.699999999997</v>
      </c>
      <c r="AR510">
        <v>112164.89</v>
      </c>
      <c r="AS510">
        <v>282239.46000000002</v>
      </c>
      <c r="AT510">
        <v>34.019399999999997</v>
      </c>
      <c r="AU510">
        <v>33.032837399999998</v>
      </c>
      <c r="AV510">
        <v>8439889.9557000007</v>
      </c>
      <c r="AW510">
        <v>50080974.299999997</v>
      </c>
      <c r="AX510">
        <v>5.93384209543835</v>
      </c>
      <c r="AY510">
        <v>252202.01759999999</v>
      </c>
      <c r="AZ510">
        <v>1.0208212582990599</v>
      </c>
      <c r="BA510">
        <v>286881.097560975</v>
      </c>
      <c r="BB510">
        <v>1.1611894535232701</v>
      </c>
      <c r="BC510">
        <v>24.835732505818399</v>
      </c>
    </row>
    <row r="511" spans="1:55" x14ac:dyDescent="0.2">
      <c r="A511" t="s">
        <v>1056</v>
      </c>
      <c r="B511" t="s">
        <v>1057</v>
      </c>
      <c r="C511">
        <v>1250</v>
      </c>
      <c r="D511">
        <v>0</v>
      </c>
      <c r="E511">
        <v>0</v>
      </c>
      <c r="F511">
        <v>400</v>
      </c>
      <c r="G511">
        <v>150</v>
      </c>
      <c r="H511">
        <v>550</v>
      </c>
      <c r="I511">
        <v>2350</v>
      </c>
      <c r="J511">
        <v>36574.31</v>
      </c>
      <c r="K511">
        <v>475072.39</v>
      </c>
      <c r="L511">
        <v>332550.67</v>
      </c>
      <c r="M511">
        <v>76608.240000000005</v>
      </c>
      <c r="N511">
        <v>231807.39</v>
      </c>
      <c r="O511">
        <v>590175</v>
      </c>
      <c r="P511">
        <v>46387500</v>
      </c>
      <c r="Q511">
        <v>111407.31</v>
      </c>
      <c r="R511">
        <v>18262.22</v>
      </c>
      <c r="S511">
        <v>180220.39</v>
      </c>
      <c r="T511">
        <v>1826828.99</v>
      </c>
      <c r="U511">
        <v>60</v>
      </c>
      <c r="V511">
        <v>105805.54</v>
      </c>
      <c r="W511">
        <v>32353.35</v>
      </c>
      <c r="X511">
        <v>141413.04</v>
      </c>
      <c r="Y511">
        <v>1747289.28</v>
      </c>
      <c r="Z511">
        <v>111407.31</v>
      </c>
      <c r="AA511">
        <v>18262.22</v>
      </c>
      <c r="AB511">
        <v>180220.39</v>
      </c>
      <c r="AC511">
        <v>1826828.99</v>
      </c>
      <c r="AD511">
        <v>0.96</v>
      </c>
      <c r="AE511">
        <v>1.33</v>
      </c>
      <c r="AF511">
        <v>1.21</v>
      </c>
      <c r="AG511">
        <v>3.17</v>
      </c>
      <c r="AH511">
        <v>0</v>
      </c>
      <c r="AI511">
        <v>0</v>
      </c>
      <c r="AJ511">
        <v>0</v>
      </c>
      <c r="AK511">
        <v>0</v>
      </c>
      <c r="AL511">
        <v>217212.84999999899</v>
      </c>
      <c r="AM511">
        <v>50615.57</v>
      </c>
      <c r="AN511">
        <v>321633.43</v>
      </c>
      <c r="AO511">
        <v>3574118.27</v>
      </c>
      <c r="AP511">
        <v>226745.13</v>
      </c>
      <c r="AQ511">
        <v>44254.89</v>
      </c>
      <c r="AR511">
        <v>90394.349999999904</v>
      </c>
      <c r="AS511">
        <v>-1157114.27999999</v>
      </c>
      <c r="AT511">
        <v>27.215519999999898</v>
      </c>
      <c r="AU511">
        <v>26.4262699199999</v>
      </c>
      <c r="AV511">
        <v>12056985.6509999</v>
      </c>
      <c r="AW511">
        <v>175595706.375</v>
      </c>
      <c r="AX511">
        <v>14.5638148255104</v>
      </c>
      <c r="AY511">
        <v>472540.08519999997</v>
      </c>
      <c r="AZ511">
        <v>0.99466964434620098</v>
      </c>
      <c r="BA511">
        <v>540823.17073170701</v>
      </c>
      <c r="BB511">
        <v>1.13840160387284</v>
      </c>
      <c r="BC511">
        <v>22.133530774907701</v>
      </c>
    </row>
    <row r="512" spans="1:55" x14ac:dyDescent="0.2">
      <c r="A512" t="s">
        <v>1058</v>
      </c>
      <c r="B512" t="s">
        <v>1059</v>
      </c>
      <c r="C512">
        <v>562</v>
      </c>
      <c r="D512">
        <v>70</v>
      </c>
      <c r="E512">
        <v>307</v>
      </c>
      <c r="F512">
        <v>222</v>
      </c>
      <c r="G512">
        <v>112</v>
      </c>
      <c r="H512">
        <v>144</v>
      </c>
      <c r="I512">
        <v>1417</v>
      </c>
      <c r="J512">
        <v>20811.32</v>
      </c>
      <c r="K512">
        <v>262672.90000000002</v>
      </c>
      <c r="L512">
        <v>183871.03</v>
      </c>
      <c r="M512">
        <v>42657.09</v>
      </c>
      <c r="N512">
        <v>106812.32</v>
      </c>
      <c r="O512">
        <v>281483.28000000003</v>
      </c>
      <c r="P512">
        <v>15674780</v>
      </c>
      <c r="Q512">
        <v>46798.03</v>
      </c>
      <c r="R512">
        <v>8820.39</v>
      </c>
      <c r="S512">
        <v>72119.740000000005</v>
      </c>
      <c r="T512">
        <v>414546.96</v>
      </c>
      <c r="U512">
        <v>67</v>
      </c>
      <c r="V512">
        <v>4295.3599999999997</v>
      </c>
      <c r="W512">
        <v>2390.16</v>
      </c>
      <c r="X512">
        <v>4052.88</v>
      </c>
      <c r="Y512">
        <v>0</v>
      </c>
      <c r="Z512">
        <v>21095.88</v>
      </c>
      <c r="AA512">
        <v>4055.17</v>
      </c>
      <c r="AB512">
        <v>31507.86</v>
      </c>
      <c r="AC512">
        <v>181113.83</v>
      </c>
      <c r="AD512">
        <v>1.1299999999999999</v>
      </c>
      <c r="AE512">
        <v>1.07</v>
      </c>
      <c r="AF512">
        <v>0.96</v>
      </c>
      <c r="AG512">
        <v>2.52</v>
      </c>
      <c r="AH512">
        <v>106865.75</v>
      </c>
      <c r="AI512">
        <v>30104.1</v>
      </c>
      <c r="AJ512">
        <v>225110.6</v>
      </c>
      <c r="AK512">
        <v>1437029.93</v>
      </c>
      <c r="AL512">
        <v>25391.24</v>
      </c>
      <c r="AM512">
        <v>6445.33</v>
      </c>
      <c r="AN512">
        <v>35560.74</v>
      </c>
      <c r="AO512">
        <v>181113.83</v>
      </c>
      <c r="AP512">
        <v>98412.07</v>
      </c>
      <c r="AQ512">
        <v>14928.049999999899</v>
      </c>
      <c r="AR512">
        <v>-81739.28</v>
      </c>
      <c r="AS512">
        <v>-922113.51999999897</v>
      </c>
      <c r="AT512">
        <v>30.390664000000001</v>
      </c>
      <c r="AU512">
        <v>29.509334744</v>
      </c>
      <c r="AV512">
        <v>6807213.33874592</v>
      </c>
      <c r="AW512">
        <v>59335468.959799998</v>
      </c>
      <c r="AX512">
        <v>8.7165578640041907</v>
      </c>
      <c r="AY512">
        <v>268882.25439999998</v>
      </c>
      <c r="AZ512">
        <v>1.02363911313272</v>
      </c>
      <c r="BA512">
        <v>312715.97560975602</v>
      </c>
      <c r="BB512">
        <v>1.1905148022873899</v>
      </c>
      <c r="BC512">
        <v>22.640807705574801</v>
      </c>
    </row>
    <row r="513" spans="1:55" x14ac:dyDescent="0.2">
      <c r="A513" t="s">
        <v>1060</v>
      </c>
      <c r="B513" t="s">
        <v>1061</v>
      </c>
      <c r="C513">
        <v>729</v>
      </c>
      <c r="D513">
        <v>109</v>
      </c>
      <c r="E513">
        <v>20</v>
      </c>
      <c r="F513">
        <v>0</v>
      </c>
      <c r="G513">
        <v>0</v>
      </c>
      <c r="H513">
        <v>0</v>
      </c>
      <c r="I513">
        <v>858</v>
      </c>
      <c r="J513">
        <v>21347.74</v>
      </c>
      <c r="K513">
        <v>277107.31</v>
      </c>
      <c r="L513">
        <v>193975.12</v>
      </c>
      <c r="M513">
        <v>46315.75</v>
      </c>
      <c r="N513">
        <v>144315.10999999999</v>
      </c>
      <c r="O513">
        <v>369323.28</v>
      </c>
      <c r="P513">
        <v>4572000</v>
      </c>
      <c r="Q513">
        <v>40076.03</v>
      </c>
      <c r="R513">
        <v>3600.62</v>
      </c>
      <c r="S513">
        <v>71567.05</v>
      </c>
      <c r="T513">
        <v>371819.82</v>
      </c>
      <c r="U513">
        <v>79</v>
      </c>
      <c r="V513">
        <v>24982.44</v>
      </c>
      <c r="W513">
        <v>9585.15</v>
      </c>
      <c r="X513">
        <v>28227.33</v>
      </c>
      <c r="Y513">
        <v>174690.43</v>
      </c>
      <c r="Z513">
        <v>40076.03</v>
      </c>
      <c r="AA513">
        <v>3600.62</v>
      </c>
      <c r="AB513">
        <v>71567.05</v>
      </c>
      <c r="AC513">
        <v>371819.82</v>
      </c>
      <c r="AD513">
        <v>0.96</v>
      </c>
      <c r="AE513">
        <v>0.82</v>
      </c>
      <c r="AF513">
        <v>1.03</v>
      </c>
      <c r="AG513">
        <v>1.63</v>
      </c>
      <c r="AH513">
        <v>3487.33</v>
      </c>
      <c r="AI513">
        <v>830.97</v>
      </c>
      <c r="AJ513">
        <v>3024.17</v>
      </c>
      <c r="AK513">
        <v>127778.11</v>
      </c>
      <c r="AL513">
        <v>65058.47</v>
      </c>
      <c r="AM513">
        <v>13185.77</v>
      </c>
      <c r="AN513">
        <v>99794.38</v>
      </c>
      <c r="AO513">
        <v>546510.25</v>
      </c>
      <c r="AP513">
        <v>165505.35</v>
      </c>
      <c r="AQ513">
        <v>35899.629999999997</v>
      </c>
      <c r="AR513">
        <v>113063.609999999</v>
      </c>
      <c r="AS513">
        <v>66854.740000000005</v>
      </c>
      <c r="AT513">
        <v>35.833767999999999</v>
      </c>
      <c r="AU513">
        <v>34.794588728000001</v>
      </c>
      <c r="AV513">
        <v>10642620.8542333</v>
      </c>
      <c r="AW513">
        <v>17306894.52</v>
      </c>
      <c r="AX513">
        <v>1.6261872669377</v>
      </c>
      <c r="AY513">
        <v>275812.80080000003</v>
      </c>
      <c r="AZ513">
        <v>0.99532849133427703</v>
      </c>
      <c r="BA513">
        <v>308540.731707317</v>
      </c>
      <c r="BB513">
        <v>1.1134341122481199</v>
      </c>
      <c r="BC513">
        <v>25.254121414969099</v>
      </c>
    </row>
    <row r="514" spans="1:55" x14ac:dyDescent="0.2">
      <c r="A514" t="s">
        <v>1062</v>
      </c>
      <c r="B514" t="s">
        <v>1063</v>
      </c>
      <c r="C514">
        <v>310</v>
      </c>
      <c r="D514">
        <v>20</v>
      </c>
      <c r="E514">
        <v>0</v>
      </c>
      <c r="F514">
        <v>0</v>
      </c>
      <c r="G514">
        <v>100</v>
      </c>
      <c r="H514">
        <v>0</v>
      </c>
      <c r="I514">
        <v>430</v>
      </c>
      <c r="J514">
        <v>8602.3799999999992</v>
      </c>
      <c r="K514">
        <v>113036.67</v>
      </c>
      <c r="L514">
        <v>79125.67</v>
      </c>
      <c r="M514">
        <v>18494.810000000001</v>
      </c>
      <c r="N514">
        <v>59530.51</v>
      </c>
      <c r="O514">
        <v>150975</v>
      </c>
      <c r="P514">
        <v>10989000</v>
      </c>
      <c r="Q514">
        <v>48611.87</v>
      </c>
      <c r="R514">
        <v>6941.93</v>
      </c>
      <c r="S514">
        <v>57864.72</v>
      </c>
      <c r="T514">
        <v>302620.58</v>
      </c>
      <c r="U514">
        <v>70</v>
      </c>
      <c r="V514">
        <v>27452.38</v>
      </c>
      <c r="W514">
        <v>19870.68</v>
      </c>
      <c r="X514">
        <v>20825.669999999998</v>
      </c>
      <c r="Y514">
        <v>717492</v>
      </c>
      <c r="Z514">
        <v>66220.47</v>
      </c>
      <c r="AA514">
        <v>9101.7099999999991</v>
      </c>
      <c r="AB514">
        <v>89301.08</v>
      </c>
      <c r="AC514">
        <v>586636.61</v>
      </c>
      <c r="AD514">
        <v>1.0900000000000001</v>
      </c>
      <c r="AE514">
        <v>1.49</v>
      </c>
      <c r="AF514">
        <v>0.95</v>
      </c>
      <c r="AG514">
        <v>3.74</v>
      </c>
      <c r="AH514">
        <v>0</v>
      </c>
      <c r="AI514">
        <v>0</v>
      </c>
      <c r="AJ514">
        <v>0</v>
      </c>
      <c r="AK514">
        <v>0</v>
      </c>
      <c r="AL514">
        <v>93672.85</v>
      </c>
      <c r="AM514">
        <v>28972.39</v>
      </c>
      <c r="AN514">
        <v>110126.75</v>
      </c>
      <c r="AO514">
        <v>1304128.6099999901</v>
      </c>
      <c r="AP514">
        <v>34064.69</v>
      </c>
      <c r="AQ514">
        <v>-3535.6499999999901</v>
      </c>
      <c r="AR514">
        <v>7268.4800000000096</v>
      </c>
      <c r="AS514">
        <v>-850533.02999999898</v>
      </c>
      <c r="AT514">
        <v>31.751439999999999</v>
      </c>
      <c r="AU514">
        <v>30.830648239999999</v>
      </c>
      <c r="AV514">
        <v>3713551.58050799</v>
      </c>
      <c r="AW514">
        <v>41597870.490000002</v>
      </c>
      <c r="AX514">
        <v>11.201640690368301</v>
      </c>
      <c r="AY514">
        <v>111142.7496</v>
      </c>
      <c r="AZ514">
        <v>0.98324507967193298</v>
      </c>
      <c r="BA514">
        <v>124901.21951219501</v>
      </c>
      <c r="BB514">
        <v>1.10496195183558</v>
      </c>
      <c r="BC514">
        <v>23.466239520957998</v>
      </c>
    </row>
    <row r="515" spans="1:55" x14ac:dyDescent="0.2">
      <c r="A515" t="s">
        <v>1064</v>
      </c>
      <c r="B515" t="s">
        <v>1065</v>
      </c>
      <c r="C515">
        <v>2100</v>
      </c>
      <c r="D515">
        <v>300</v>
      </c>
      <c r="E515">
        <v>150</v>
      </c>
      <c r="F515">
        <v>0</v>
      </c>
      <c r="G515">
        <v>350</v>
      </c>
      <c r="H515">
        <v>0</v>
      </c>
      <c r="I515">
        <v>2900</v>
      </c>
      <c r="J515">
        <v>59314.64</v>
      </c>
      <c r="K515">
        <v>777179.82</v>
      </c>
      <c r="L515">
        <v>544025.87</v>
      </c>
      <c r="M515">
        <v>127520.07</v>
      </c>
      <c r="N515">
        <v>396353.81</v>
      </c>
      <c r="O515">
        <v>1060668</v>
      </c>
      <c r="P515">
        <v>87781135</v>
      </c>
      <c r="Q515">
        <v>408563.38</v>
      </c>
      <c r="R515">
        <v>28586.53</v>
      </c>
      <c r="S515">
        <v>416955.45</v>
      </c>
      <c r="T515">
        <v>4222110.04</v>
      </c>
      <c r="U515">
        <v>65</v>
      </c>
      <c r="V515">
        <v>0</v>
      </c>
      <c r="W515">
        <v>0</v>
      </c>
      <c r="X515">
        <v>0</v>
      </c>
      <c r="Y515">
        <v>0</v>
      </c>
      <c r="Z515">
        <v>101036.78</v>
      </c>
      <c r="AA515">
        <v>8480.2000000000007</v>
      </c>
      <c r="AB515">
        <v>116184.46</v>
      </c>
      <c r="AC515">
        <v>980975.47</v>
      </c>
      <c r="AD515">
        <v>1.25</v>
      </c>
      <c r="AE515">
        <v>0.42</v>
      </c>
      <c r="AF515">
        <v>0.86</v>
      </c>
      <c r="AG515">
        <v>5.16</v>
      </c>
      <c r="AH515">
        <v>340518.9</v>
      </c>
      <c r="AI515">
        <v>29921.79</v>
      </c>
      <c r="AJ515">
        <v>318476.67</v>
      </c>
      <c r="AK515">
        <v>4244050.78</v>
      </c>
      <c r="AL515">
        <v>101036.78</v>
      </c>
      <c r="AM515">
        <v>8480.2000000000007</v>
      </c>
      <c r="AN515">
        <v>116184.46</v>
      </c>
      <c r="AO515">
        <v>980975.47</v>
      </c>
      <c r="AP515">
        <v>511033.56999999902</v>
      </c>
      <c r="AQ515">
        <v>117704.609999999</v>
      </c>
      <c r="AR515">
        <v>378648.13</v>
      </c>
      <c r="AS515">
        <v>57751.79</v>
      </c>
      <c r="AT515">
        <v>29.48348</v>
      </c>
      <c r="AU515">
        <v>28.628459079999999</v>
      </c>
      <c r="AV515">
        <v>25078530.15408</v>
      </c>
      <c r="AW515">
        <v>332287586.24035001</v>
      </c>
      <c r="AX515">
        <v>13.249882835987901</v>
      </c>
      <c r="AY515">
        <v>766345.14879999997</v>
      </c>
      <c r="AZ515">
        <v>0.98605899056926105</v>
      </c>
      <c r="BA515">
        <v>911609.75609756098</v>
      </c>
      <c r="BB515">
        <v>1.1729714702288001</v>
      </c>
      <c r="BC515">
        <v>22.964119357884702</v>
      </c>
    </row>
    <row r="516" spans="1:55" x14ac:dyDescent="0.2">
      <c r="A516" t="s">
        <v>805</v>
      </c>
      <c r="B516" t="s">
        <v>1066</v>
      </c>
      <c r="C516">
        <v>500</v>
      </c>
      <c r="D516">
        <v>0</v>
      </c>
      <c r="E516">
        <v>700</v>
      </c>
      <c r="F516">
        <v>0</v>
      </c>
      <c r="G516">
        <v>0</v>
      </c>
      <c r="H516">
        <v>0</v>
      </c>
      <c r="I516">
        <v>1200</v>
      </c>
      <c r="J516">
        <v>1295.92</v>
      </c>
      <c r="K516">
        <v>16779.07</v>
      </c>
      <c r="L516">
        <v>11745.35</v>
      </c>
      <c r="M516">
        <v>2781.76</v>
      </c>
      <c r="N516">
        <v>6349.91</v>
      </c>
      <c r="O516">
        <v>19829.88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8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11745.35</v>
      </c>
      <c r="AQ516">
        <v>2781.76</v>
      </c>
      <c r="AR516">
        <v>6349.91</v>
      </c>
      <c r="AS516">
        <v>19829.88</v>
      </c>
      <c r="AT516">
        <v>3.628736</v>
      </c>
      <c r="AU516">
        <v>3.5235026559999998</v>
      </c>
      <c r="AV516">
        <v>643039.23471999995</v>
      </c>
      <c r="AW516">
        <v>0</v>
      </c>
      <c r="AY516">
        <v>16743.286400000001</v>
      </c>
      <c r="AZ516">
        <v>0.99786736690412503</v>
      </c>
      <c r="BA516">
        <v>275975.60975609702</v>
      </c>
      <c r="BB516">
        <v>16.447610609890599</v>
      </c>
      <c r="BC516">
        <v>1.71395870967741</v>
      </c>
    </row>
    <row r="517" spans="1:55" x14ac:dyDescent="0.2">
      <c r="A517" t="s">
        <v>1067</v>
      </c>
      <c r="B517" t="s">
        <v>1068</v>
      </c>
      <c r="C517">
        <v>1200</v>
      </c>
      <c r="D517">
        <v>180</v>
      </c>
      <c r="E517">
        <v>20</v>
      </c>
      <c r="F517">
        <v>0</v>
      </c>
      <c r="G517">
        <v>0</v>
      </c>
      <c r="H517">
        <v>0</v>
      </c>
      <c r="I517">
        <v>1400</v>
      </c>
      <c r="J517">
        <v>33719.47</v>
      </c>
      <c r="K517">
        <v>438401.94</v>
      </c>
      <c r="L517">
        <v>306881.36</v>
      </c>
      <c r="M517">
        <v>72990.23</v>
      </c>
      <c r="N517">
        <v>230440.69</v>
      </c>
      <c r="O517">
        <v>608072.4</v>
      </c>
      <c r="P517">
        <v>9083000</v>
      </c>
      <c r="Q517">
        <v>47351.09</v>
      </c>
      <c r="R517">
        <v>2838.07</v>
      </c>
      <c r="S517">
        <v>52112.2</v>
      </c>
      <c r="T517">
        <v>328529.96999999997</v>
      </c>
      <c r="U517">
        <v>70</v>
      </c>
      <c r="V517">
        <v>1142.08</v>
      </c>
      <c r="W517">
        <v>285.52</v>
      </c>
      <c r="X517">
        <v>1792.8</v>
      </c>
      <c r="Y517">
        <v>0</v>
      </c>
      <c r="Z517">
        <v>27729.22</v>
      </c>
      <c r="AA517">
        <v>1516.09</v>
      </c>
      <c r="AB517">
        <v>31350.25</v>
      </c>
      <c r="AC517">
        <v>197254.77</v>
      </c>
      <c r="AD517">
        <v>0.87</v>
      </c>
      <c r="AE517">
        <v>0.26</v>
      </c>
      <c r="AF517">
        <v>0.78</v>
      </c>
      <c r="AG517">
        <v>1.35</v>
      </c>
      <c r="AH517">
        <v>38948.730000000003</v>
      </c>
      <c r="AI517">
        <v>6111.64</v>
      </c>
      <c r="AJ517">
        <v>34393.74</v>
      </c>
      <c r="AK517">
        <v>245691.84</v>
      </c>
      <c r="AL517">
        <v>28871.3</v>
      </c>
      <c r="AM517">
        <v>1801.61</v>
      </c>
      <c r="AN517">
        <v>33143.050000000003</v>
      </c>
      <c r="AO517">
        <v>197254.77</v>
      </c>
      <c r="AP517">
        <v>286412.42</v>
      </c>
      <c r="AQ517">
        <v>67915.05</v>
      </c>
      <c r="AR517">
        <v>215016.1</v>
      </c>
      <c r="AS517">
        <v>493655.76</v>
      </c>
      <c r="AT517">
        <v>31.751439999999999</v>
      </c>
      <c r="AU517">
        <v>30.830648239999999</v>
      </c>
      <c r="AV517">
        <v>15529397.518487999</v>
      </c>
      <c r="AW517">
        <v>34382879.030000001</v>
      </c>
      <c r="AX517">
        <v>2.2140510595511902</v>
      </c>
      <c r="AY517">
        <v>435655.55239999999</v>
      </c>
      <c r="AZ517">
        <v>0.99373545746626901</v>
      </c>
      <c r="BA517">
        <v>506370.731707317</v>
      </c>
      <c r="BB517">
        <v>1.1550376161823399</v>
      </c>
      <c r="BC517">
        <v>24.3055251406469</v>
      </c>
    </row>
    <row r="518" spans="1:55" x14ac:dyDescent="0.2">
      <c r="A518" t="s">
        <v>1069</v>
      </c>
      <c r="B518" t="s">
        <v>1070</v>
      </c>
      <c r="C518">
        <v>0</v>
      </c>
      <c r="D518">
        <v>100</v>
      </c>
      <c r="E518">
        <v>500</v>
      </c>
      <c r="F518">
        <v>350</v>
      </c>
      <c r="G518">
        <v>0</v>
      </c>
      <c r="H518">
        <v>0</v>
      </c>
      <c r="I518">
        <v>950</v>
      </c>
      <c r="J518">
        <v>10066.57</v>
      </c>
      <c r="K518">
        <v>99186</v>
      </c>
      <c r="L518">
        <v>69430.2</v>
      </c>
      <c r="M518">
        <v>16104</v>
      </c>
      <c r="N518">
        <v>1</v>
      </c>
      <c r="O518">
        <v>23058</v>
      </c>
      <c r="P518">
        <v>9106450</v>
      </c>
      <c r="Q518">
        <v>10765.22</v>
      </c>
      <c r="R518">
        <v>3363.53</v>
      </c>
      <c r="S518">
        <v>41663.79</v>
      </c>
      <c r="T518">
        <v>288990.94</v>
      </c>
      <c r="U518">
        <v>1</v>
      </c>
      <c r="V518">
        <v>41900.199999999997</v>
      </c>
      <c r="W518">
        <v>13746.68</v>
      </c>
      <c r="X518">
        <v>79863.08</v>
      </c>
      <c r="Y518">
        <v>1397035.52</v>
      </c>
      <c r="Z518">
        <v>74535.199999999997</v>
      </c>
      <c r="AA518">
        <v>10433.42</v>
      </c>
      <c r="AB518">
        <v>102126.38</v>
      </c>
      <c r="AC518">
        <v>860370.11</v>
      </c>
      <c r="AD518">
        <v>1.19</v>
      </c>
      <c r="AE518">
        <v>1.27</v>
      </c>
      <c r="AF518">
        <v>1.08</v>
      </c>
      <c r="AG518">
        <v>3.99</v>
      </c>
      <c r="AH518">
        <v>0</v>
      </c>
      <c r="AI518">
        <v>0</v>
      </c>
      <c r="AJ518">
        <v>0</v>
      </c>
      <c r="AK518">
        <v>0</v>
      </c>
      <c r="AL518">
        <v>116435.4</v>
      </c>
      <c r="AM518">
        <v>24180.1</v>
      </c>
      <c r="AN518">
        <v>181989.46</v>
      </c>
      <c r="AO518">
        <v>2257405.63</v>
      </c>
      <c r="AP518">
        <v>-36239.979999999901</v>
      </c>
      <c r="AQ518">
        <v>-4712.57</v>
      </c>
      <c r="AR518">
        <v>-140324.67000000001</v>
      </c>
      <c r="AS518">
        <v>-1945356.69</v>
      </c>
      <c r="AT518">
        <v>0.453592</v>
      </c>
      <c r="AU518">
        <v>0.44043783199999997</v>
      </c>
      <c r="AV518">
        <v>16075.980868000001</v>
      </c>
      <c r="AW518">
        <v>34471646.894500002</v>
      </c>
      <c r="AX518">
        <v>2144.2950932541498</v>
      </c>
      <c r="AY518">
        <v>130060.084399999</v>
      </c>
      <c r="AZ518">
        <v>1.31127461940193</v>
      </c>
      <c r="BA518">
        <v>150006.097560975</v>
      </c>
      <c r="BB518">
        <v>1.5123716810938601</v>
      </c>
      <c r="BC518">
        <v>24.494324629080101</v>
      </c>
    </row>
    <row r="519" spans="1:55" x14ac:dyDescent="0.2">
      <c r="A519" t="s">
        <v>1071</v>
      </c>
      <c r="B519" t="s">
        <v>1072</v>
      </c>
      <c r="C519">
        <v>1145</v>
      </c>
      <c r="D519">
        <v>168</v>
      </c>
      <c r="E519">
        <v>0</v>
      </c>
      <c r="F519">
        <v>0</v>
      </c>
      <c r="G519">
        <v>0</v>
      </c>
      <c r="H519">
        <v>0</v>
      </c>
      <c r="I519">
        <v>1313</v>
      </c>
      <c r="J519">
        <v>31912.73</v>
      </c>
      <c r="K519">
        <v>415806.3</v>
      </c>
      <c r="L519">
        <v>291064.40999999997</v>
      </c>
      <c r="M519">
        <v>69246.94</v>
      </c>
      <c r="N519">
        <v>219878.83</v>
      </c>
      <c r="O519">
        <v>579337.74</v>
      </c>
      <c r="P519">
        <v>24048000</v>
      </c>
      <c r="Q519">
        <v>108785.69</v>
      </c>
      <c r="R519">
        <v>8092.41</v>
      </c>
      <c r="S519">
        <v>163957.82</v>
      </c>
      <c r="T519">
        <v>1019481.28</v>
      </c>
      <c r="U519">
        <v>70</v>
      </c>
      <c r="V519">
        <v>0</v>
      </c>
      <c r="W519">
        <v>0</v>
      </c>
      <c r="X519">
        <v>0</v>
      </c>
      <c r="Y519">
        <v>0</v>
      </c>
      <c r="Z519">
        <v>108785.69</v>
      </c>
      <c r="AA519">
        <v>8092.41</v>
      </c>
      <c r="AB519">
        <v>163957.82</v>
      </c>
      <c r="AC519">
        <v>1019481.28</v>
      </c>
      <c r="AD519">
        <v>0.7</v>
      </c>
      <c r="AE519">
        <v>0.4</v>
      </c>
      <c r="AF519">
        <v>0.87</v>
      </c>
      <c r="AG519">
        <v>2.0499999999999998</v>
      </c>
      <c r="AH519">
        <v>161130.4</v>
      </c>
      <c r="AI519">
        <v>35351.29</v>
      </c>
      <c r="AJ519">
        <v>168067.88</v>
      </c>
      <c r="AK519">
        <v>2145561.6000000001</v>
      </c>
      <c r="AL519">
        <v>108785.69</v>
      </c>
      <c r="AM519">
        <v>8092.41</v>
      </c>
      <c r="AN519">
        <v>163957.82</v>
      </c>
      <c r="AO519">
        <v>1019481.28</v>
      </c>
      <c r="AP519">
        <v>129934.00999999901</v>
      </c>
      <c r="AQ519">
        <v>33895.65</v>
      </c>
      <c r="AR519">
        <v>51810.95</v>
      </c>
      <c r="AS519">
        <v>-1566223.86</v>
      </c>
      <c r="AT519">
        <v>31.751439999999999</v>
      </c>
      <c r="AU519">
        <v>30.830648239999999</v>
      </c>
      <c r="AV519">
        <v>14775434.0157788</v>
      </c>
      <c r="AW519">
        <v>91031539.680000007</v>
      </c>
      <c r="AX519">
        <v>6.1610061391622502</v>
      </c>
      <c r="AY519">
        <v>412312.47159999999</v>
      </c>
      <c r="AZ519">
        <v>0.99159746160652196</v>
      </c>
      <c r="BA519">
        <v>479245</v>
      </c>
      <c r="BB519">
        <v>1.1525679144351499</v>
      </c>
      <c r="BC519">
        <v>24.305201827874999</v>
      </c>
    </row>
    <row r="520" spans="1:55" x14ac:dyDescent="0.2">
      <c r="A520" t="s">
        <v>1073</v>
      </c>
      <c r="B520" t="s">
        <v>1074</v>
      </c>
      <c r="C520">
        <v>607</v>
      </c>
      <c r="D520">
        <v>86</v>
      </c>
      <c r="E520">
        <v>46</v>
      </c>
      <c r="F520">
        <v>216</v>
      </c>
      <c r="G520">
        <v>0</v>
      </c>
      <c r="H520">
        <v>0</v>
      </c>
      <c r="I520">
        <v>955</v>
      </c>
      <c r="J520">
        <v>19672.759999999998</v>
      </c>
      <c r="K520">
        <v>247605.29</v>
      </c>
      <c r="L520">
        <v>173323.7</v>
      </c>
      <c r="M520">
        <v>41370.43</v>
      </c>
      <c r="N520">
        <v>117764.26</v>
      </c>
      <c r="O520">
        <v>306418.86</v>
      </c>
      <c r="P520">
        <v>4770000</v>
      </c>
      <c r="Q520">
        <v>26659.34</v>
      </c>
      <c r="R520">
        <v>4501.21</v>
      </c>
      <c r="S520">
        <v>43530.36</v>
      </c>
      <c r="T520">
        <v>266853.07</v>
      </c>
      <c r="U520">
        <v>73</v>
      </c>
      <c r="V520">
        <v>0</v>
      </c>
      <c r="W520">
        <v>0</v>
      </c>
      <c r="X520">
        <v>0</v>
      </c>
      <c r="Y520">
        <v>0</v>
      </c>
      <c r="Z520">
        <v>26659.34</v>
      </c>
      <c r="AA520">
        <v>4501.21</v>
      </c>
      <c r="AB520">
        <v>43530.36</v>
      </c>
      <c r="AC520">
        <v>266853.07</v>
      </c>
      <c r="AD520">
        <v>1.2</v>
      </c>
      <c r="AE520">
        <v>0.92</v>
      </c>
      <c r="AF520">
        <v>1.29</v>
      </c>
      <c r="AG520">
        <v>19.190000000000001</v>
      </c>
      <c r="AH520">
        <v>113007.44</v>
      </c>
      <c r="AI520">
        <v>33398.959999999999</v>
      </c>
      <c r="AJ520">
        <v>134510.88</v>
      </c>
      <c r="AK520">
        <v>0</v>
      </c>
      <c r="AL520">
        <v>26659.34</v>
      </c>
      <c r="AM520">
        <v>4501.21</v>
      </c>
      <c r="AN520">
        <v>43530.36</v>
      </c>
      <c r="AO520">
        <v>266853.07</v>
      </c>
      <c r="AP520">
        <v>60316.26</v>
      </c>
      <c r="AQ520">
        <v>7971.47</v>
      </c>
      <c r="AR520">
        <v>-16746.62</v>
      </c>
      <c r="AS520">
        <v>306418.859999999</v>
      </c>
      <c r="AT520">
        <v>33.112215999999997</v>
      </c>
      <c r="AU520">
        <v>32.151961735999997</v>
      </c>
      <c r="AV520">
        <v>8132677.9613125101</v>
      </c>
      <c r="AW520">
        <v>18056405.699999999</v>
      </c>
      <c r="AX520">
        <v>2.22022878391288</v>
      </c>
      <c r="AY520">
        <v>254172.05919999999</v>
      </c>
      <c r="AZ520">
        <v>1.0265211183492799</v>
      </c>
      <c r="BA520">
        <v>287931.58536585298</v>
      </c>
      <c r="BB520">
        <v>1.1628652415538201</v>
      </c>
      <c r="BC520">
        <v>24.938415113007402</v>
      </c>
    </row>
    <row r="521" spans="1:55" x14ac:dyDescent="0.2">
      <c r="A521" t="s">
        <v>1075</v>
      </c>
      <c r="B521" t="s">
        <v>1076</v>
      </c>
      <c r="C521">
        <v>1650</v>
      </c>
      <c r="D521">
        <v>225</v>
      </c>
      <c r="E521">
        <v>10</v>
      </c>
      <c r="F521">
        <v>0</v>
      </c>
      <c r="G521">
        <v>0</v>
      </c>
      <c r="H521">
        <v>0</v>
      </c>
      <c r="I521">
        <v>1885</v>
      </c>
      <c r="J521">
        <v>45749.9</v>
      </c>
      <c r="K521">
        <v>597019.87</v>
      </c>
      <c r="L521">
        <v>417913.91</v>
      </c>
      <c r="M521">
        <v>99536.23</v>
      </c>
      <c r="N521">
        <v>316855.95</v>
      </c>
      <c r="O521">
        <v>830911.5</v>
      </c>
      <c r="P521">
        <v>13554000</v>
      </c>
      <c r="Q521">
        <v>83115.55</v>
      </c>
      <c r="R521">
        <v>4515.6499999999996</v>
      </c>
      <c r="S521">
        <v>77461.27</v>
      </c>
      <c r="T521">
        <v>474982.05</v>
      </c>
      <c r="U521">
        <v>70</v>
      </c>
      <c r="V521">
        <v>23543.9</v>
      </c>
      <c r="W521">
        <v>9199.16</v>
      </c>
      <c r="X521">
        <v>16559.22</v>
      </c>
      <c r="Y521">
        <v>1365649.06</v>
      </c>
      <c r="Z521">
        <v>83115.55</v>
      </c>
      <c r="AA521">
        <v>4515.6499999999996</v>
      </c>
      <c r="AB521">
        <v>77461.27</v>
      </c>
      <c r="AC521">
        <v>474982.05</v>
      </c>
      <c r="AD521">
        <v>1.26</v>
      </c>
      <c r="AE521">
        <v>0.82</v>
      </c>
      <c r="AF521">
        <v>0.51</v>
      </c>
      <c r="AG521">
        <v>2.46</v>
      </c>
      <c r="AH521">
        <v>0</v>
      </c>
      <c r="AI521">
        <v>0</v>
      </c>
      <c r="AJ521">
        <v>0</v>
      </c>
      <c r="AK521">
        <v>0</v>
      </c>
      <c r="AL521">
        <v>106659.45</v>
      </c>
      <c r="AM521">
        <v>13714.81</v>
      </c>
      <c r="AN521">
        <v>94020.49</v>
      </c>
      <c r="AO521">
        <v>1840631.11</v>
      </c>
      <c r="AP521">
        <v>394370.00999999902</v>
      </c>
      <c r="AQ521">
        <v>90337.069999999905</v>
      </c>
      <c r="AR521">
        <v>300296.73</v>
      </c>
      <c r="AS521">
        <v>-534737.56000000006</v>
      </c>
      <c r="AT521">
        <v>31.751439999999999</v>
      </c>
      <c r="AU521">
        <v>30.830648239999999</v>
      </c>
      <c r="AV521">
        <v>21099724.889249999</v>
      </c>
      <c r="AW521">
        <v>51307447.140000001</v>
      </c>
      <c r="AX521">
        <v>2.43166427094698</v>
      </c>
      <c r="AY521">
        <v>591088.70799999998</v>
      </c>
      <c r="AZ521">
        <v>0.99006538593095705</v>
      </c>
      <c r="BA521">
        <v>685710.36585365795</v>
      </c>
      <c r="BB521">
        <v>1.14855535018232</v>
      </c>
      <c r="BC521">
        <v>24.3524297306069</v>
      </c>
    </row>
    <row r="522" spans="1:55" x14ac:dyDescent="0.2">
      <c r="A522" t="s">
        <v>1077</v>
      </c>
      <c r="B522" t="s">
        <v>1078</v>
      </c>
      <c r="C522">
        <v>320</v>
      </c>
      <c r="D522">
        <v>63</v>
      </c>
      <c r="E522">
        <v>0</v>
      </c>
      <c r="F522">
        <v>50</v>
      </c>
      <c r="G522">
        <v>75</v>
      </c>
      <c r="H522">
        <v>20</v>
      </c>
      <c r="I522">
        <v>528</v>
      </c>
      <c r="J522">
        <v>10262.08</v>
      </c>
      <c r="K522">
        <v>132709.44</v>
      </c>
      <c r="L522">
        <v>92896.61</v>
      </c>
      <c r="M522">
        <v>21614.21</v>
      </c>
      <c r="N522">
        <v>63137.38</v>
      </c>
      <c r="O522">
        <v>165611.34</v>
      </c>
      <c r="P522">
        <v>14164500</v>
      </c>
      <c r="Q522">
        <v>45437.42</v>
      </c>
      <c r="R522">
        <v>7922.37</v>
      </c>
      <c r="S522">
        <v>68789.25</v>
      </c>
      <c r="T522">
        <v>440422.98</v>
      </c>
      <c r="U522">
        <v>78</v>
      </c>
      <c r="V522">
        <v>27813.29</v>
      </c>
      <c r="W522">
        <v>12702.58</v>
      </c>
      <c r="X522">
        <v>56323.41</v>
      </c>
      <c r="Y522">
        <v>719950.92</v>
      </c>
      <c r="Z522">
        <v>45437.42</v>
      </c>
      <c r="AA522">
        <v>7922.37</v>
      </c>
      <c r="AB522">
        <v>68789.25</v>
      </c>
      <c r="AC522">
        <v>440422.98</v>
      </c>
      <c r="AD522">
        <v>1.1599999999999999</v>
      </c>
      <c r="AE522">
        <v>2.06</v>
      </c>
      <c r="AF522">
        <v>1.39</v>
      </c>
      <c r="AG522">
        <v>3.58</v>
      </c>
      <c r="AH522">
        <v>15805.44</v>
      </c>
      <c r="AI522">
        <v>6001.13</v>
      </c>
      <c r="AJ522">
        <v>30561.3</v>
      </c>
      <c r="AK522">
        <v>213620.4</v>
      </c>
      <c r="AL522">
        <v>73250.709999999905</v>
      </c>
      <c r="AM522">
        <v>20624.95</v>
      </c>
      <c r="AN522">
        <v>125112.66</v>
      </c>
      <c r="AO522">
        <v>1160373.8999999999</v>
      </c>
      <c r="AP522">
        <v>49277.88</v>
      </c>
      <c r="AQ522">
        <v>2910.49999999999</v>
      </c>
      <c r="AR522">
        <v>-23747.3299999999</v>
      </c>
      <c r="AS522">
        <v>-767959.98</v>
      </c>
      <c r="AT522">
        <v>35.380175999999999</v>
      </c>
      <c r="AU522">
        <v>34.354150896</v>
      </c>
      <c r="AV522">
        <v>4802538.5245063202</v>
      </c>
      <c r="AW522">
        <v>53618439.945</v>
      </c>
      <c r="AX522">
        <v>11.1646038176261</v>
      </c>
      <c r="AY522">
        <v>132586.0736</v>
      </c>
      <c r="AZ522">
        <v>0.999070402226096</v>
      </c>
      <c r="BA522">
        <v>150700.48780487801</v>
      </c>
      <c r="BB522">
        <v>1.13556720460035</v>
      </c>
      <c r="BC522">
        <v>23.5342476787112</v>
      </c>
    </row>
    <row r="523" spans="1:55" x14ac:dyDescent="0.2">
      <c r="A523" t="s">
        <v>1079</v>
      </c>
      <c r="B523" t="s">
        <v>1080</v>
      </c>
      <c r="C523">
        <v>634</v>
      </c>
      <c r="D523">
        <v>41</v>
      </c>
      <c r="E523">
        <v>500</v>
      </c>
      <c r="F523">
        <v>750</v>
      </c>
      <c r="G523">
        <v>150</v>
      </c>
      <c r="H523">
        <v>200</v>
      </c>
      <c r="I523">
        <v>2275</v>
      </c>
      <c r="J523">
        <v>30084.89</v>
      </c>
      <c r="K523">
        <v>350771.94</v>
      </c>
      <c r="L523">
        <v>245540.36</v>
      </c>
      <c r="M523">
        <v>57228.77</v>
      </c>
      <c r="N523">
        <v>118825.74</v>
      </c>
      <c r="O523">
        <v>308790.53999999998</v>
      </c>
      <c r="P523">
        <v>13318000</v>
      </c>
      <c r="Q523">
        <v>59255.519999999997</v>
      </c>
      <c r="R523">
        <v>3101.85</v>
      </c>
      <c r="S523">
        <v>73335.850000000006</v>
      </c>
      <c r="T523">
        <v>630670.87</v>
      </c>
      <c r="U523">
        <v>63</v>
      </c>
      <c r="V523">
        <v>21193.7</v>
      </c>
      <c r="W523">
        <v>6163.97</v>
      </c>
      <c r="X523">
        <v>17391.78</v>
      </c>
      <c r="Y523">
        <v>441670.32</v>
      </c>
      <c r="Z523">
        <v>59255.519999999997</v>
      </c>
      <c r="AA523">
        <v>3101.85</v>
      </c>
      <c r="AB523">
        <v>73335.850000000006</v>
      </c>
      <c r="AC523">
        <v>630670.87</v>
      </c>
      <c r="AD523">
        <v>1.1299999999999999</v>
      </c>
      <c r="AE523">
        <v>0.64</v>
      </c>
      <c r="AF523">
        <v>0.97</v>
      </c>
      <c r="AG523">
        <v>2.54</v>
      </c>
      <c r="AH523">
        <v>198667.04</v>
      </c>
      <c r="AI523">
        <v>41634.53</v>
      </c>
      <c r="AJ523">
        <v>184408.64</v>
      </c>
      <c r="AK523">
        <v>2286096.7999999998</v>
      </c>
      <c r="AL523">
        <v>80449.22</v>
      </c>
      <c r="AM523">
        <v>9265.82</v>
      </c>
      <c r="AN523">
        <v>90727.63</v>
      </c>
      <c r="AO523">
        <v>1072341.19</v>
      </c>
      <c r="AP523">
        <v>25679.619999999901</v>
      </c>
      <c r="AQ523">
        <v>9430.2699999999895</v>
      </c>
      <c r="AR523">
        <v>-82974.679999999993</v>
      </c>
      <c r="AS523">
        <v>-2418976.58</v>
      </c>
      <c r="AT523">
        <v>28.576295999999999</v>
      </c>
      <c r="AU523">
        <v>27.747583415999902</v>
      </c>
      <c r="AV523">
        <v>6836310.86411699</v>
      </c>
      <c r="AW523">
        <v>50414090.380000003</v>
      </c>
      <c r="AX523">
        <v>7.3744584443369403</v>
      </c>
      <c r="AY523">
        <v>388696.77879999997</v>
      </c>
      <c r="AZ523">
        <v>1.1081182229114399</v>
      </c>
      <c r="BA523">
        <v>428875</v>
      </c>
      <c r="BB523">
        <v>1.2226605126966501</v>
      </c>
      <c r="BC523">
        <v>23.869965940977199</v>
      </c>
    </row>
    <row r="524" spans="1:55" x14ac:dyDescent="0.2">
      <c r="A524" t="s">
        <v>1081</v>
      </c>
      <c r="B524" t="s">
        <v>1082</v>
      </c>
      <c r="C524">
        <v>1760</v>
      </c>
      <c r="D524">
        <v>155</v>
      </c>
      <c r="E524">
        <v>398</v>
      </c>
      <c r="F524">
        <v>420</v>
      </c>
      <c r="G524">
        <v>0</v>
      </c>
      <c r="H524">
        <v>0</v>
      </c>
      <c r="I524">
        <v>2733</v>
      </c>
      <c r="J524">
        <v>56811.66</v>
      </c>
      <c r="K524">
        <v>711632.27</v>
      </c>
      <c r="L524">
        <v>498142.59</v>
      </c>
      <c r="M524">
        <v>119609.7</v>
      </c>
      <c r="N524">
        <v>343777.12</v>
      </c>
      <c r="O524">
        <v>866706.3</v>
      </c>
      <c r="P524">
        <v>30485821</v>
      </c>
      <c r="Q524">
        <v>150779.88</v>
      </c>
      <c r="R524">
        <v>13965.87</v>
      </c>
      <c r="S524">
        <v>172612.58</v>
      </c>
      <c r="T524">
        <v>1264985.43</v>
      </c>
      <c r="U524">
        <v>75</v>
      </c>
      <c r="V524">
        <v>0</v>
      </c>
      <c r="W524">
        <v>0</v>
      </c>
      <c r="X524">
        <v>0</v>
      </c>
      <c r="Y524">
        <v>0</v>
      </c>
      <c r="Z524">
        <v>150779.88</v>
      </c>
      <c r="AA524">
        <v>13965.87</v>
      </c>
      <c r="AB524">
        <v>172612.58</v>
      </c>
      <c r="AC524">
        <v>1264985.43</v>
      </c>
      <c r="AD524">
        <v>1.3</v>
      </c>
      <c r="AE524">
        <v>0.51</v>
      </c>
      <c r="AF524">
        <v>1.7</v>
      </c>
      <c r="AG524">
        <v>2.6</v>
      </c>
      <c r="AH524">
        <v>37013.06</v>
      </c>
      <c r="AI524">
        <v>6168.84</v>
      </c>
      <c r="AJ524">
        <v>9415.6</v>
      </c>
      <c r="AK524">
        <v>0</v>
      </c>
      <c r="AL524">
        <v>150779.88</v>
      </c>
      <c r="AM524">
        <v>13965.87</v>
      </c>
      <c r="AN524">
        <v>172612.58</v>
      </c>
      <c r="AO524">
        <v>1264985.43</v>
      </c>
      <c r="AP524">
        <v>461129.52999999898</v>
      </c>
      <c r="AQ524">
        <v>113440.86</v>
      </c>
      <c r="AR524">
        <v>334361.52</v>
      </c>
      <c r="AS524">
        <v>866706.3</v>
      </c>
      <c r="AT524">
        <v>34.019399999999997</v>
      </c>
      <c r="AU524">
        <v>33.032837399999998</v>
      </c>
      <c r="AV524">
        <v>23089127.521664999</v>
      </c>
      <c r="AW524">
        <v>115401331.67161</v>
      </c>
      <c r="AX524">
        <v>4.9980810909085402</v>
      </c>
      <c r="AY524">
        <v>734006.64720000001</v>
      </c>
      <c r="AZ524">
        <v>1.03144092552182</v>
      </c>
      <c r="BA524">
        <v>808207.92682926799</v>
      </c>
      <c r="BB524">
        <v>1.13571005827106</v>
      </c>
      <c r="BC524">
        <v>25.6570805749848</v>
      </c>
    </row>
    <row r="525" spans="1:55" x14ac:dyDescent="0.2">
      <c r="A525" t="s">
        <v>1083</v>
      </c>
      <c r="B525" t="s">
        <v>1084</v>
      </c>
      <c r="C525">
        <v>1600</v>
      </c>
      <c r="D525">
        <v>350</v>
      </c>
      <c r="E525">
        <v>425</v>
      </c>
      <c r="F525">
        <v>300</v>
      </c>
      <c r="G525">
        <v>300</v>
      </c>
      <c r="H525">
        <v>0</v>
      </c>
      <c r="I525">
        <v>2975</v>
      </c>
      <c r="J525">
        <v>53618.43</v>
      </c>
      <c r="K525">
        <v>674182.01</v>
      </c>
      <c r="L525">
        <v>471927.41</v>
      </c>
      <c r="M525">
        <v>110047.1</v>
      </c>
      <c r="N525">
        <v>301983.86</v>
      </c>
      <c r="O525">
        <v>836127</v>
      </c>
      <c r="P525">
        <v>29274454</v>
      </c>
      <c r="Q525">
        <v>48220.4</v>
      </c>
      <c r="R525">
        <v>10616.02</v>
      </c>
      <c r="S525">
        <v>169154.55</v>
      </c>
      <c r="T525">
        <v>834679.38</v>
      </c>
      <c r="U525">
        <v>65</v>
      </c>
      <c r="V525">
        <v>78400</v>
      </c>
      <c r="W525">
        <v>51920</v>
      </c>
      <c r="X525">
        <v>142000</v>
      </c>
      <c r="Y525">
        <v>0</v>
      </c>
      <c r="Z525">
        <v>48220.4</v>
      </c>
      <c r="AA525">
        <v>10616.02</v>
      </c>
      <c r="AB525">
        <v>169154.55</v>
      </c>
      <c r="AC525">
        <v>834679.38</v>
      </c>
      <c r="AD525">
        <v>1.18</v>
      </c>
      <c r="AE525">
        <v>1.36</v>
      </c>
      <c r="AF525">
        <v>1.1599999999999999</v>
      </c>
      <c r="AG525">
        <v>3.77</v>
      </c>
      <c r="AH525">
        <v>0</v>
      </c>
      <c r="AI525">
        <v>0</v>
      </c>
      <c r="AJ525">
        <v>0</v>
      </c>
      <c r="AK525">
        <v>0</v>
      </c>
      <c r="AL525">
        <v>126620.4</v>
      </c>
      <c r="AM525">
        <v>62536.02</v>
      </c>
      <c r="AN525">
        <v>311154.55</v>
      </c>
      <c r="AO525">
        <v>834679.38</v>
      </c>
      <c r="AP525">
        <v>393527.41</v>
      </c>
      <c r="AQ525">
        <v>58127.1</v>
      </c>
      <c r="AR525">
        <v>159983.85999999999</v>
      </c>
      <c r="AS525">
        <v>836126.99999999895</v>
      </c>
      <c r="AT525">
        <v>29.48348</v>
      </c>
      <c r="AU525">
        <v>28.628459079999999</v>
      </c>
      <c r="AV525">
        <v>20376305.750190001</v>
      </c>
      <c r="AW525">
        <v>110815810.91614</v>
      </c>
      <c r="AX525">
        <v>5.4384642768283298</v>
      </c>
      <c r="AY525">
        <v>692750.11560000002</v>
      </c>
      <c r="AZ525">
        <v>1.0275416806212301</v>
      </c>
      <c r="BA525">
        <v>821917.68292682897</v>
      </c>
      <c r="BB525">
        <v>1.2191332173441201</v>
      </c>
      <c r="BC525">
        <v>23.061690322580599</v>
      </c>
    </row>
    <row r="526" spans="1:55" x14ac:dyDescent="0.2">
      <c r="A526" t="s">
        <v>1085</v>
      </c>
      <c r="B526" t="s">
        <v>1086</v>
      </c>
      <c r="C526">
        <v>700</v>
      </c>
      <c r="D526">
        <v>100</v>
      </c>
      <c r="E526">
        <v>300</v>
      </c>
      <c r="F526">
        <v>200</v>
      </c>
      <c r="G526">
        <v>75</v>
      </c>
      <c r="H526">
        <v>75</v>
      </c>
      <c r="I526">
        <v>1450</v>
      </c>
      <c r="J526">
        <v>25276.78</v>
      </c>
      <c r="K526">
        <v>314360.59000000003</v>
      </c>
      <c r="L526">
        <v>220052.41</v>
      </c>
      <c r="M526">
        <v>51854.7</v>
      </c>
      <c r="N526">
        <v>136729.54</v>
      </c>
      <c r="O526">
        <v>353556</v>
      </c>
      <c r="P526">
        <v>98345000</v>
      </c>
      <c r="Q526">
        <v>94979.37</v>
      </c>
      <c r="R526">
        <v>19406.72</v>
      </c>
      <c r="S526">
        <v>85525.57</v>
      </c>
      <c r="T526">
        <v>830983.5</v>
      </c>
      <c r="U526">
        <v>75</v>
      </c>
      <c r="V526">
        <v>109111</v>
      </c>
      <c r="W526">
        <v>784603.64</v>
      </c>
      <c r="X526">
        <v>356956.54</v>
      </c>
      <c r="Y526">
        <v>89670.24</v>
      </c>
      <c r="Z526">
        <v>94979.37</v>
      </c>
      <c r="AA526">
        <v>19406.72</v>
      </c>
      <c r="AB526">
        <v>85525.57</v>
      </c>
      <c r="AC526">
        <v>830983.5</v>
      </c>
      <c r="AD526">
        <v>1.06</v>
      </c>
      <c r="AE526">
        <v>14.4</v>
      </c>
      <c r="AF526">
        <v>1.24</v>
      </c>
      <c r="AG526">
        <v>14.7</v>
      </c>
      <c r="AH526">
        <v>0</v>
      </c>
      <c r="AI526">
        <v>0</v>
      </c>
      <c r="AJ526">
        <v>0</v>
      </c>
      <c r="AK526">
        <v>0</v>
      </c>
      <c r="AL526">
        <v>204090.37</v>
      </c>
      <c r="AM526">
        <v>804010.36</v>
      </c>
      <c r="AN526">
        <v>442482.11</v>
      </c>
      <c r="AO526">
        <v>920653.74</v>
      </c>
      <c r="AP526">
        <v>110941.41</v>
      </c>
      <c r="AQ526">
        <v>-732748.94</v>
      </c>
      <c r="AR526">
        <v>-220226.99999999901</v>
      </c>
      <c r="AS526">
        <v>263885.76</v>
      </c>
      <c r="AT526">
        <v>34.019399999999997</v>
      </c>
      <c r="AU526">
        <v>33.032837399999998</v>
      </c>
      <c r="AV526">
        <v>9645588.5208000001</v>
      </c>
      <c r="AW526">
        <v>372276146.44999999</v>
      </c>
      <c r="AX526">
        <v>38.595482862161603</v>
      </c>
      <c r="AY526">
        <v>326575.9976</v>
      </c>
      <c r="AZ526">
        <v>1.0388579484470299</v>
      </c>
      <c r="BA526">
        <v>365445.12195121899</v>
      </c>
      <c r="BB526">
        <v>1.1625029777149201</v>
      </c>
      <c r="BC526">
        <v>24.3560042303172</v>
      </c>
    </row>
    <row r="527" spans="1:55" x14ac:dyDescent="0.2">
      <c r="A527" t="s">
        <v>1087</v>
      </c>
      <c r="B527" t="s">
        <v>1088</v>
      </c>
      <c r="C527">
        <v>1400</v>
      </c>
      <c r="D527">
        <v>230</v>
      </c>
      <c r="E527">
        <v>450</v>
      </c>
      <c r="F527">
        <v>400</v>
      </c>
      <c r="G527">
        <v>400</v>
      </c>
      <c r="H527">
        <v>150</v>
      </c>
      <c r="I527">
        <v>3030</v>
      </c>
      <c r="J527">
        <v>49498.239999999998</v>
      </c>
      <c r="K527">
        <v>621976.53</v>
      </c>
      <c r="L527">
        <v>435383.57</v>
      </c>
      <c r="M527">
        <v>100943.9</v>
      </c>
      <c r="N527">
        <v>268847.46999999997</v>
      </c>
      <c r="O527">
        <v>714029.4</v>
      </c>
      <c r="P527">
        <v>31908000</v>
      </c>
      <c r="Q527">
        <v>86111.47</v>
      </c>
      <c r="R527">
        <v>12486.15</v>
      </c>
      <c r="S527">
        <v>47193.8</v>
      </c>
      <c r="T527">
        <v>478365.36</v>
      </c>
      <c r="U527">
        <v>70</v>
      </c>
      <c r="V527">
        <v>137938.48000000001</v>
      </c>
      <c r="W527">
        <v>80337.119999999995</v>
      </c>
      <c r="X527">
        <v>82923.199999999997</v>
      </c>
      <c r="Y527">
        <v>21688311.68</v>
      </c>
      <c r="Z527">
        <v>86111.47</v>
      </c>
      <c r="AA527">
        <v>12486.15</v>
      </c>
      <c r="AB527">
        <v>47193.8</v>
      </c>
      <c r="AC527">
        <v>478365.36</v>
      </c>
      <c r="AD527">
        <v>1.25</v>
      </c>
      <c r="AE527">
        <v>1.8</v>
      </c>
      <c r="AF527">
        <v>0.4</v>
      </c>
      <c r="AG527">
        <v>12.92</v>
      </c>
      <c r="AH527">
        <v>0</v>
      </c>
      <c r="AI527">
        <v>0</v>
      </c>
      <c r="AJ527">
        <v>0</v>
      </c>
      <c r="AK527">
        <v>0</v>
      </c>
      <c r="AL527">
        <v>224049.95</v>
      </c>
      <c r="AM527">
        <v>92823.269999999902</v>
      </c>
      <c r="AN527">
        <v>130117</v>
      </c>
      <c r="AO527">
        <v>22166677.039999999</v>
      </c>
      <c r="AP527">
        <v>297445.09000000003</v>
      </c>
      <c r="AQ527">
        <v>20606.78</v>
      </c>
      <c r="AR527">
        <v>185924.269999999</v>
      </c>
      <c r="AS527">
        <v>-20974282.279999901</v>
      </c>
      <c r="AT527">
        <v>31.751439999999999</v>
      </c>
      <c r="AU527">
        <v>30.830648239999999</v>
      </c>
      <c r="AV527">
        <v>18342694.170387998</v>
      </c>
      <c r="AW527">
        <v>120784862.28</v>
      </c>
      <c r="AX527">
        <v>6.5849030223156699</v>
      </c>
      <c r="AY527">
        <v>639517.260799999</v>
      </c>
      <c r="AZ527">
        <v>1.0282015959669699</v>
      </c>
      <c r="BA527">
        <v>732937.80487804802</v>
      </c>
      <c r="BB527">
        <v>1.1784010642299401</v>
      </c>
      <c r="BC527">
        <v>23.106317203688899</v>
      </c>
    </row>
    <row r="528" spans="1:55" x14ac:dyDescent="0.2">
      <c r="A528" t="s">
        <v>1089</v>
      </c>
      <c r="B528" t="s">
        <v>1090</v>
      </c>
      <c r="C528">
        <v>3485</v>
      </c>
      <c r="D528">
        <v>265</v>
      </c>
      <c r="E528">
        <v>1795</v>
      </c>
      <c r="F528">
        <v>495</v>
      </c>
      <c r="G528">
        <v>0</v>
      </c>
      <c r="H528">
        <v>0</v>
      </c>
      <c r="I528">
        <v>6040</v>
      </c>
      <c r="J528">
        <v>119182.53</v>
      </c>
      <c r="K528">
        <v>1465224.46</v>
      </c>
      <c r="L528">
        <v>1025657.12</v>
      </c>
      <c r="M528">
        <v>246622.21</v>
      </c>
      <c r="N528">
        <v>680717.76</v>
      </c>
      <c r="O528">
        <v>1706511.6</v>
      </c>
      <c r="P528">
        <v>84947755</v>
      </c>
      <c r="Q528">
        <v>352805.83</v>
      </c>
      <c r="R528">
        <v>32136.89</v>
      </c>
      <c r="S528">
        <v>445271.18</v>
      </c>
      <c r="T528">
        <v>2677524.69</v>
      </c>
      <c r="U528">
        <v>75</v>
      </c>
      <c r="V528">
        <v>0</v>
      </c>
      <c r="W528">
        <v>0</v>
      </c>
      <c r="X528">
        <v>0</v>
      </c>
      <c r="Y528">
        <v>0</v>
      </c>
      <c r="Z528">
        <v>352805.83</v>
      </c>
      <c r="AA528">
        <v>32136.89</v>
      </c>
      <c r="AB528">
        <v>445271.18</v>
      </c>
      <c r="AC528">
        <v>2677524.69</v>
      </c>
      <c r="AD528">
        <v>1.1499999999999999</v>
      </c>
      <c r="AE528">
        <v>0.44</v>
      </c>
      <c r="AF528">
        <v>1.3</v>
      </c>
      <c r="AG528">
        <v>1.78</v>
      </c>
      <c r="AH528">
        <v>0</v>
      </c>
      <c r="AI528">
        <v>0</v>
      </c>
      <c r="AJ528">
        <v>0</v>
      </c>
      <c r="AK528">
        <v>0</v>
      </c>
      <c r="AL528">
        <v>352805.83</v>
      </c>
      <c r="AM528">
        <v>32136.89</v>
      </c>
      <c r="AN528">
        <v>445271.18</v>
      </c>
      <c r="AO528">
        <v>2677524.69</v>
      </c>
      <c r="AP528">
        <v>1025657.11999999</v>
      </c>
      <c r="AQ528">
        <v>246622.209999999</v>
      </c>
      <c r="AR528">
        <v>680717.76</v>
      </c>
      <c r="AS528">
        <v>1706511.6</v>
      </c>
      <c r="AT528">
        <v>34.019399999999997</v>
      </c>
      <c r="AU528">
        <v>33.032837399999998</v>
      </c>
      <c r="AV528">
        <v>45213696.191249996</v>
      </c>
      <c r="AW528">
        <v>321562081.25454998</v>
      </c>
      <c r="AX528">
        <v>7.1120502932202303</v>
      </c>
      <c r="AY528">
        <v>1539838.2875999999</v>
      </c>
      <c r="AZ528">
        <v>1.05092313815181</v>
      </c>
      <c r="BA528">
        <v>1674548.7804878</v>
      </c>
      <c r="BB528">
        <v>1.1428616066700099</v>
      </c>
      <c r="BC528">
        <v>25.9781165869218</v>
      </c>
    </row>
    <row r="529" spans="1:55" x14ac:dyDescent="0.2">
      <c r="A529" t="s">
        <v>1091</v>
      </c>
      <c r="B529" t="s">
        <v>1092</v>
      </c>
      <c r="C529">
        <v>725</v>
      </c>
      <c r="D529">
        <v>90</v>
      </c>
      <c r="E529">
        <v>100</v>
      </c>
      <c r="F529">
        <v>400</v>
      </c>
      <c r="G529">
        <v>0</v>
      </c>
      <c r="H529">
        <v>0</v>
      </c>
      <c r="I529">
        <v>1315</v>
      </c>
      <c r="J529">
        <v>24933.09</v>
      </c>
      <c r="K529">
        <v>308982.27</v>
      </c>
      <c r="L529">
        <v>216287.59</v>
      </c>
      <c r="M529">
        <v>51707.86</v>
      </c>
      <c r="N529">
        <v>139702.21</v>
      </c>
      <c r="O529">
        <v>363053.7</v>
      </c>
      <c r="P529">
        <v>10826000</v>
      </c>
      <c r="Q529">
        <v>32472.9</v>
      </c>
      <c r="R529">
        <v>4597.8500000000004</v>
      </c>
      <c r="S529">
        <v>32224.89</v>
      </c>
      <c r="T529">
        <v>186836.04</v>
      </c>
      <c r="U529">
        <v>71</v>
      </c>
      <c r="V529">
        <v>0</v>
      </c>
      <c r="W529">
        <v>0</v>
      </c>
      <c r="X529">
        <v>0</v>
      </c>
      <c r="Y529">
        <v>0</v>
      </c>
      <c r="Z529">
        <v>32472.9</v>
      </c>
      <c r="AA529">
        <v>4597.8500000000004</v>
      </c>
      <c r="AB529">
        <v>32224.89</v>
      </c>
      <c r="AC529">
        <v>186836.04</v>
      </c>
      <c r="AD529">
        <v>1.34</v>
      </c>
      <c r="AE529">
        <v>0.74</v>
      </c>
      <c r="AF529">
        <v>1.22</v>
      </c>
      <c r="AG529">
        <v>6.9</v>
      </c>
      <c r="AH529">
        <v>167175.18</v>
      </c>
      <c r="AI529">
        <v>124792.74</v>
      </c>
      <c r="AJ529">
        <v>78486</v>
      </c>
      <c r="AK529">
        <v>2900450.13</v>
      </c>
      <c r="AL529">
        <v>32472.9</v>
      </c>
      <c r="AM529">
        <v>4597.8500000000004</v>
      </c>
      <c r="AN529">
        <v>32224.89</v>
      </c>
      <c r="AO529">
        <v>186836.04</v>
      </c>
      <c r="AP529">
        <v>49112.41</v>
      </c>
      <c r="AQ529">
        <v>-73084.88</v>
      </c>
      <c r="AR529">
        <v>61216.209999999897</v>
      </c>
      <c r="AS529">
        <v>-2537396.4299999899</v>
      </c>
      <c r="AT529">
        <v>32.205032000000003</v>
      </c>
      <c r="AU529">
        <v>31.271086071999999</v>
      </c>
      <c r="AV529">
        <v>9302366.3292682003</v>
      </c>
      <c r="AW529">
        <v>40980848.659999996</v>
      </c>
      <c r="AX529">
        <v>4.4054219334559201</v>
      </c>
      <c r="AY529">
        <v>322135.52279999998</v>
      </c>
      <c r="AZ529">
        <v>1.0425696037510499</v>
      </c>
      <c r="BA529">
        <v>364243.292682926</v>
      </c>
      <c r="BB529">
        <v>1.1788485231949599</v>
      </c>
      <c r="BC529">
        <v>24.9848879384088</v>
      </c>
    </row>
    <row r="530" spans="1:55" x14ac:dyDescent="0.2">
      <c r="A530" t="s">
        <v>625</v>
      </c>
      <c r="B530" t="s">
        <v>1093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1</v>
      </c>
      <c r="L530">
        <v>0.7</v>
      </c>
      <c r="M530">
        <v>1</v>
      </c>
      <c r="N530">
        <v>1</v>
      </c>
      <c r="O530">
        <v>0</v>
      </c>
      <c r="P530">
        <v>22517890</v>
      </c>
      <c r="Q530">
        <v>30476.63</v>
      </c>
      <c r="R530">
        <v>3391.86</v>
      </c>
      <c r="S530">
        <v>59595.94</v>
      </c>
      <c r="T530">
        <v>241677.74</v>
      </c>
      <c r="U530">
        <v>75</v>
      </c>
      <c r="V530">
        <v>15910.4</v>
      </c>
      <c r="W530">
        <v>5657.03</v>
      </c>
      <c r="X530">
        <v>8367.69</v>
      </c>
      <c r="Y530">
        <v>855625.85</v>
      </c>
      <c r="Z530">
        <v>30476.63</v>
      </c>
      <c r="AA530">
        <v>3391.86</v>
      </c>
      <c r="AB530">
        <v>59595.94</v>
      </c>
      <c r="AC530">
        <v>241677.74</v>
      </c>
      <c r="AD530">
        <v>1.18</v>
      </c>
      <c r="AE530">
        <v>0.73</v>
      </c>
      <c r="AF530">
        <v>1.77</v>
      </c>
      <c r="AG530">
        <v>5.18</v>
      </c>
      <c r="AH530">
        <v>0</v>
      </c>
      <c r="AI530">
        <v>0</v>
      </c>
      <c r="AJ530">
        <v>0</v>
      </c>
      <c r="AK530">
        <v>0</v>
      </c>
      <c r="AL530">
        <v>46387.03</v>
      </c>
      <c r="AM530">
        <v>9048.89</v>
      </c>
      <c r="AN530">
        <v>67963.63</v>
      </c>
      <c r="AO530">
        <v>1097303.5899999901</v>
      </c>
      <c r="AP530">
        <v>-15909.699999999901</v>
      </c>
      <c r="AQ530">
        <v>-5656.0299999999897</v>
      </c>
      <c r="AR530">
        <v>-8366.69</v>
      </c>
      <c r="AS530">
        <v>-855625.84999999905</v>
      </c>
      <c r="AT530">
        <v>34.019399999999997</v>
      </c>
      <c r="AU530">
        <v>33.032837399999998</v>
      </c>
      <c r="AV530">
        <v>0</v>
      </c>
      <c r="AW530">
        <v>85239445.984899998</v>
      </c>
    </row>
    <row r="531" spans="1:55" x14ac:dyDescent="0.2">
      <c r="A531" t="s">
        <v>1094</v>
      </c>
      <c r="B531" t="s">
        <v>1095</v>
      </c>
      <c r="C531">
        <v>1148</v>
      </c>
      <c r="D531">
        <v>226</v>
      </c>
      <c r="E531">
        <v>348</v>
      </c>
      <c r="F531">
        <v>266</v>
      </c>
      <c r="G531">
        <v>0</v>
      </c>
      <c r="H531">
        <v>0</v>
      </c>
      <c r="I531">
        <v>1988</v>
      </c>
      <c r="J531">
        <v>36903.620000000003</v>
      </c>
      <c r="K531">
        <v>468193.57</v>
      </c>
      <c r="L531">
        <v>327735.5</v>
      </c>
      <c r="M531">
        <v>77458.740000000005</v>
      </c>
      <c r="N531">
        <v>212891.9</v>
      </c>
      <c r="O531">
        <v>594127.80000000005</v>
      </c>
      <c r="P531">
        <v>35412196</v>
      </c>
      <c r="Q531">
        <v>61428.73</v>
      </c>
      <c r="R531">
        <v>16139.18</v>
      </c>
      <c r="S531">
        <v>101628.67</v>
      </c>
      <c r="T531">
        <v>488593.31</v>
      </c>
      <c r="U531">
        <v>60</v>
      </c>
      <c r="V531">
        <v>43209.8</v>
      </c>
      <c r="W531">
        <v>16919.5</v>
      </c>
      <c r="X531">
        <v>65855.899999999994</v>
      </c>
      <c r="Y531">
        <v>1619066</v>
      </c>
      <c r="Z531">
        <v>61428.73</v>
      </c>
      <c r="AA531">
        <v>16139.18</v>
      </c>
      <c r="AB531">
        <v>101628.67</v>
      </c>
      <c r="AC531">
        <v>488593.31</v>
      </c>
      <c r="AD531">
        <v>1.1399999999999999</v>
      </c>
      <c r="AE531">
        <v>1.47</v>
      </c>
      <c r="AF531">
        <v>1.33</v>
      </c>
      <c r="AG531">
        <v>3.91</v>
      </c>
      <c r="AH531">
        <v>0</v>
      </c>
      <c r="AI531">
        <v>0</v>
      </c>
      <c r="AJ531">
        <v>0</v>
      </c>
      <c r="AK531">
        <v>0</v>
      </c>
      <c r="AL531">
        <v>104638.53</v>
      </c>
      <c r="AM531">
        <v>33058.68</v>
      </c>
      <c r="AN531">
        <v>167484.57</v>
      </c>
      <c r="AO531">
        <v>2107659.31</v>
      </c>
      <c r="AP531">
        <v>284525.69999999902</v>
      </c>
      <c r="AQ531">
        <v>60539.24</v>
      </c>
      <c r="AR531">
        <v>147036</v>
      </c>
      <c r="AS531">
        <v>-1024938.2</v>
      </c>
      <c r="AT531">
        <v>27.215519999999898</v>
      </c>
      <c r="AU531">
        <v>26.4262699199999</v>
      </c>
      <c r="AV531">
        <v>13253038.6275791</v>
      </c>
      <c r="AW531">
        <v>134049680.86036</v>
      </c>
      <c r="AX531">
        <v>10.114637452380601</v>
      </c>
      <c r="AY531">
        <v>476794.77039999998</v>
      </c>
      <c r="AZ531">
        <v>1.0183710348691799</v>
      </c>
      <c r="BA531">
        <v>583501.463414634</v>
      </c>
      <c r="BB531">
        <v>1.24628252245034</v>
      </c>
      <c r="BC531">
        <v>23.0844687538142</v>
      </c>
    </row>
    <row r="532" spans="1:55" x14ac:dyDescent="0.2">
      <c r="A532" t="s">
        <v>1096</v>
      </c>
      <c r="B532" t="s">
        <v>1097</v>
      </c>
      <c r="C532">
        <v>750</v>
      </c>
      <c r="D532">
        <v>100</v>
      </c>
      <c r="E532">
        <v>800</v>
      </c>
      <c r="F532">
        <v>0</v>
      </c>
      <c r="G532">
        <v>0</v>
      </c>
      <c r="H532">
        <v>0</v>
      </c>
      <c r="I532">
        <v>1650</v>
      </c>
      <c r="J532">
        <v>28600.47</v>
      </c>
      <c r="K532">
        <v>346652.21</v>
      </c>
      <c r="L532">
        <v>242656.55</v>
      </c>
      <c r="M532">
        <v>57998.84</v>
      </c>
      <c r="N532">
        <v>144025.43</v>
      </c>
      <c r="O532">
        <v>377163</v>
      </c>
      <c r="P532">
        <v>32153000</v>
      </c>
      <c r="Q532">
        <v>110158.42</v>
      </c>
      <c r="R532">
        <v>28064.59</v>
      </c>
      <c r="S532">
        <v>185857.5</v>
      </c>
      <c r="T532">
        <v>683157.25</v>
      </c>
      <c r="U532">
        <v>70</v>
      </c>
      <c r="V532">
        <v>0</v>
      </c>
      <c r="W532">
        <v>0</v>
      </c>
      <c r="X532">
        <v>0</v>
      </c>
      <c r="Y532">
        <v>0</v>
      </c>
      <c r="Z532">
        <v>110158.42</v>
      </c>
      <c r="AA532">
        <v>28064.59</v>
      </c>
      <c r="AB532">
        <v>185857.5</v>
      </c>
      <c r="AC532">
        <v>683157.25</v>
      </c>
      <c r="AD532">
        <v>1.05</v>
      </c>
      <c r="AE532">
        <v>0.91</v>
      </c>
      <c r="AF532">
        <v>1.59</v>
      </c>
      <c r="AG532">
        <v>5.87</v>
      </c>
      <c r="AH532">
        <v>174770.2</v>
      </c>
      <c r="AI532">
        <v>103834.06</v>
      </c>
      <c r="AJ532">
        <v>177854.38</v>
      </c>
      <c r="AK532">
        <v>4477509.72</v>
      </c>
      <c r="AL532">
        <v>110158.42</v>
      </c>
      <c r="AM532">
        <v>28064.59</v>
      </c>
      <c r="AN532">
        <v>185857.5</v>
      </c>
      <c r="AO532">
        <v>683157.25</v>
      </c>
      <c r="AP532">
        <v>67886.349999999904</v>
      </c>
      <c r="AQ532">
        <v>-45835.22</v>
      </c>
      <c r="AR532">
        <v>-33828.949999999997</v>
      </c>
      <c r="AS532">
        <v>-4100346.71999999</v>
      </c>
      <c r="AT532">
        <v>31.751439999999999</v>
      </c>
      <c r="AU532">
        <v>30.830648239999999</v>
      </c>
      <c r="AV532">
        <v>9565208.6164599992</v>
      </c>
      <c r="AW532">
        <v>121712287.73</v>
      </c>
      <c r="AX532">
        <v>12.7244781175556</v>
      </c>
      <c r="AY532">
        <v>369518.0724</v>
      </c>
      <c r="AZ532">
        <v>1.0659619692025</v>
      </c>
      <c r="BA532">
        <v>417079.26829268201</v>
      </c>
      <c r="BB532">
        <v>1.20316344815076</v>
      </c>
      <c r="BC532">
        <v>25.0292266808964</v>
      </c>
    </row>
    <row r="533" spans="1:55" x14ac:dyDescent="0.2">
      <c r="A533" t="s">
        <v>1098</v>
      </c>
      <c r="B533" t="s">
        <v>1099</v>
      </c>
      <c r="C533">
        <v>800</v>
      </c>
      <c r="D533">
        <v>110</v>
      </c>
      <c r="E533">
        <v>275</v>
      </c>
      <c r="F533">
        <v>190</v>
      </c>
      <c r="G533">
        <v>0</v>
      </c>
      <c r="H533">
        <v>0</v>
      </c>
      <c r="I533">
        <v>1375</v>
      </c>
      <c r="J533">
        <v>27187.23</v>
      </c>
      <c r="K533">
        <v>339573.22</v>
      </c>
      <c r="L533">
        <v>237701.25</v>
      </c>
      <c r="M533">
        <v>56823.9</v>
      </c>
      <c r="N533">
        <v>156262.32999999999</v>
      </c>
      <c r="O533">
        <v>403075.8</v>
      </c>
      <c r="P533">
        <v>18003000</v>
      </c>
      <c r="Q533">
        <v>76706.91</v>
      </c>
      <c r="R533">
        <v>9331.98</v>
      </c>
      <c r="S533">
        <v>64750.27</v>
      </c>
      <c r="T533">
        <v>600381.68999999994</v>
      </c>
      <c r="U533">
        <v>75</v>
      </c>
      <c r="V533">
        <v>6879.62</v>
      </c>
      <c r="W533">
        <v>3290.56</v>
      </c>
      <c r="X533">
        <v>2006.22</v>
      </c>
      <c r="Y533">
        <v>17086.25</v>
      </c>
      <c r="Z533">
        <v>76706.91</v>
      </c>
      <c r="AA533">
        <v>9331.98</v>
      </c>
      <c r="AB533">
        <v>64750.27</v>
      </c>
      <c r="AC533">
        <v>600381.68999999994</v>
      </c>
      <c r="AD533">
        <v>1.38</v>
      </c>
      <c r="AE533">
        <v>0.49</v>
      </c>
      <c r="AF533">
        <v>0.4</v>
      </c>
      <c r="AG533">
        <v>6.09</v>
      </c>
      <c r="AH533">
        <v>172051.20000000001</v>
      </c>
      <c r="AI533">
        <v>62788.800000000003</v>
      </c>
      <c r="AJ533">
        <v>64272</v>
      </c>
      <c r="AK533">
        <v>0</v>
      </c>
      <c r="AL533">
        <v>83586.53</v>
      </c>
      <c r="AM533">
        <v>12622.539999999901</v>
      </c>
      <c r="AN533">
        <v>66756.489999999903</v>
      </c>
      <c r="AO533">
        <v>617467.93999999994</v>
      </c>
      <c r="AP533">
        <v>58770.43</v>
      </c>
      <c r="AQ533">
        <v>-9255.4599999999991</v>
      </c>
      <c r="AR533">
        <v>89984.109999999899</v>
      </c>
      <c r="AS533">
        <v>385989.55</v>
      </c>
      <c r="AT533">
        <v>34.019399999999997</v>
      </c>
      <c r="AU533">
        <v>33.032837399999998</v>
      </c>
      <c r="AV533">
        <v>10971856.94241</v>
      </c>
      <c r="AW533">
        <v>68148736.230000004</v>
      </c>
      <c r="AX533">
        <v>6.2112308415708197</v>
      </c>
      <c r="AY533">
        <v>351259.01159999898</v>
      </c>
      <c r="AZ533">
        <v>1.0344131719220899</v>
      </c>
      <c r="BA533">
        <v>394244.51219512202</v>
      </c>
      <c r="BB533">
        <v>1.16100001111725</v>
      </c>
      <c r="BC533">
        <v>25.170518911595298</v>
      </c>
    </row>
    <row r="534" spans="1:55" x14ac:dyDescent="0.2">
      <c r="A534" t="s">
        <v>1100</v>
      </c>
      <c r="B534" t="s">
        <v>1101</v>
      </c>
      <c r="C534">
        <v>375</v>
      </c>
      <c r="D534">
        <v>0</v>
      </c>
      <c r="E534">
        <v>175</v>
      </c>
      <c r="F534">
        <v>250</v>
      </c>
      <c r="G534">
        <v>120</v>
      </c>
      <c r="H534">
        <v>0</v>
      </c>
      <c r="I534">
        <v>920</v>
      </c>
      <c r="J534">
        <v>13470.62</v>
      </c>
      <c r="K534">
        <v>166933.92000000001</v>
      </c>
      <c r="L534">
        <v>116853.74</v>
      </c>
      <c r="M534">
        <v>27568.09</v>
      </c>
      <c r="N534">
        <v>69542.22</v>
      </c>
      <c r="O534">
        <v>177052.5</v>
      </c>
      <c r="P534">
        <v>6880000</v>
      </c>
      <c r="Q534">
        <v>25389.41</v>
      </c>
      <c r="R534">
        <v>4463.71</v>
      </c>
      <c r="S534">
        <v>27043.119999999999</v>
      </c>
      <c r="T534">
        <v>103903.93</v>
      </c>
      <c r="U534">
        <v>60</v>
      </c>
      <c r="V534">
        <v>0</v>
      </c>
      <c r="W534">
        <v>0</v>
      </c>
      <c r="X534">
        <v>0</v>
      </c>
      <c r="Y534">
        <v>0</v>
      </c>
      <c r="Z534">
        <v>25389.41</v>
      </c>
      <c r="AA534">
        <v>4463.71</v>
      </c>
      <c r="AB534">
        <v>27043.119999999999</v>
      </c>
      <c r="AC534">
        <v>103903.93</v>
      </c>
      <c r="AD534">
        <v>1.1399999999999999</v>
      </c>
      <c r="AE534">
        <v>0.12</v>
      </c>
      <c r="AF534">
        <v>0.88</v>
      </c>
      <c r="AG534">
        <v>4.13</v>
      </c>
      <c r="AH534">
        <v>58036.800000000003</v>
      </c>
      <c r="AI534">
        <v>51744.959999999999</v>
      </c>
      <c r="AJ534">
        <v>46537.919999999998</v>
      </c>
      <c r="AK534">
        <v>0</v>
      </c>
      <c r="AL534">
        <v>25389.41</v>
      </c>
      <c r="AM534">
        <v>4463.71</v>
      </c>
      <c r="AN534">
        <v>27043.119999999999</v>
      </c>
      <c r="AO534">
        <v>103903.93</v>
      </c>
      <c r="AP534">
        <v>58816.9399999999</v>
      </c>
      <c r="AQ534">
        <v>-24176.87</v>
      </c>
      <c r="AR534">
        <v>23004.3</v>
      </c>
      <c r="AS534">
        <v>177052.5</v>
      </c>
      <c r="AT534">
        <v>27.215519999999898</v>
      </c>
      <c r="AU534">
        <v>26.4262699199999</v>
      </c>
      <c r="AV534">
        <v>3617095.69529999</v>
      </c>
      <c r="AW534">
        <v>26043620.800000001</v>
      </c>
      <c r="AX534">
        <v>7.2001470223308397</v>
      </c>
      <c r="AY534">
        <v>174040.41039999999</v>
      </c>
      <c r="AZ534">
        <v>1.0425706794640599</v>
      </c>
      <c r="BA534">
        <v>198969.512195121</v>
      </c>
      <c r="BB534">
        <v>1.19190582833687</v>
      </c>
      <c r="BC534">
        <v>23.452034819532901</v>
      </c>
    </row>
    <row r="535" spans="1:55" x14ac:dyDescent="0.2">
      <c r="A535" t="s">
        <v>1102</v>
      </c>
      <c r="B535" t="s">
        <v>1103</v>
      </c>
      <c r="C535">
        <v>0</v>
      </c>
      <c r="D535">
        <v>0</v>
      </c>
      <c r="E535">
        <v>700</v>
      </c>
      <c r="F535">
        <v>100</v>
      </c>
      <c r="G535">
        <v>0</v>
      </c>
      <c r="H535">
        <v>0</v>
      </c>
      <c r="I535">
        <v>800</v>
      </c>
      <c r="J535">
        <v>7636.37</v>
      </c>
      <c r="K535">
        <v>76128</v>
      </c>
      <c r="L535">
        <v>53289.599999999999</v>
      </c>
      <c r="M535">
        <v>12883.2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67904.460000000006</v>
      </c>
      <c r="AI535">
        <v>63844.959999999999</v>
      </c>
      <c r="AJ535">
        <v>73440.149999999994</v>
      </c>
      <c r="AK535">
        <v>2173607.13</v>
      </c>
      <c r="AL535">
        <v>0</v>
      </c>
      <c r="AM535">
        <v>0</v>
      </c>
      <c r="AN535">
        <v>0</v>
      </c>
      <c r="AO535">
        <v>0</v>
      </c>
      <c r="AP535">
        <v>-14614.86</v>
      </c>
      <c r="AQ535">
        <v>-50961.7599999999</v>
      </c>
      <c r="AR535">
        <v>-73439.149999999994</v>
      </c>
      <c r="AS535">
        <v>-2173607.13</v>
      </c>
      <c r="AT535">
        <v>0.453592</v>
      </c>
      <c r="AU535">
        <v>0.44043783199999997</v>
      </c>
      <c r="AV535">
        <v>0</v>
      </c>
      <c r="AW535">
        <v>0</v>
      </c>
      <c r="AY535">
        <v>98661.900399999999</v>
      </c>
      <c r="AZ535">
        <v>1.29600016288356</v>
      </c>
      <c r="BA535">
        <v>106829.268292682</v>
      </c>
      <c r="BB535">
        <v>1.40328483991019</v>
      </c>
      <c r="BC535">
        <v>26.090930833333299</v>
      </c>
    </row>
    <row r="536" spans="1:55" x14ac:dyDescent="0.2">
      <c r="A536" t="s">
        <v>1104</v>
      </c>
      <c r="B536" t="s">
        <v>1105</v>
      </c>
      <c r="C536">
        <v>2940</v>
      </c>
      <c r="D536">
        <v>275</v>
      </c>
      <c r="E536">
        <v>1095</v>
      </c>
      <c r="F536">
        <v>805</v>
      </c>
      <c r="G536">
        <v>372</v>
      </c>
      <c r="H536">
        <v>403</v>
      </c>
      <c r="I536">
        <v>5890</v>
      </c>
      <c r="J536">
        <v>103339.35</v>
      </c>
      <c r="K536">
        <v>1282177.27</v>
      </c>
      <c r="L536">
        <v>897524.09</v>
      </c>
      <c r="M536">
        <v>211591.7</v>
      </c>
      <c r="N536">
        <v>574264.05000000005</v>
      </c>
      <c r="O536">
        <v>1451501.1</v>
      </c>
      <c r="P536">
        <v>97023281</v>
      </c>
      <c r="Q536">
        <v>220878.84</v>
      </c>
      <c r="R536">
        <v>27136.51</v>
      </c>
      <c r="S536">
        <v>306509.96999999997</v>
      </c>
      <c r="T536">
        <v>1575539.3</v>
      </c>
      <c r="U536">
        <v>75</v>
      </c>
      <c r="V536">
        <v>408761.14</v>
      </c>
      <c r="W536">
        <v>91769.87</v>
      </c>
      <c r="X536">
        <v>140175.01999999999</v>
      </c>
      <c r="Y536">
        <v>11685468.1</v>
      </c>
      <c r="Z536">
        <v>220878.84</v>
      </c>
      <c r="AA536">
        <v>27136.51</v>
      </c>
      <c r="AB536">
        <v>306509.96999999997</v>
      </c>
      <c r="AC536">
        <v>1575539.3</v>
      </c>
      <c r="AD536">
        <v>1.2</v>
      </c>
      <c r="AE536">
        <v>0.98</v>
      </c>
      <c r="AF536">
        <v>0.62</v>
      </c>
      <c r="AG536">
        <v>5.1100000000000003</v>
      </c>
      <c r="AH536">
        <v>521060.46</v>
      </c>
      <c r="AI536">
        <v>157998.98000000001</v>
      </c>
      <c r="AJ536">
        <v>430295.09</v>
      </c>
      <c r="AK536">
        <v>0</v>
      </c>
      <c r="AL536">
        <v>629639.98</v>
      </c>
      <c r="AM536">
        <v>118906.379999999</v>
      </c>
      <c r="AN536">
        <v>446684.99</v>
      </c>
      <c r="AO536">
        <v>13261007.4</v>
      </c>
      <c r="AP536">
        <v>-32297.51</v>
      </c>
      <c r="AQ536">
        <v>-38177.1499999999</v>
      </c>
      <c r="AR536">
        <v>3793.94</v>
      </c>
      <c r="AS536">
        <v>-10233967</v>
      </c>
      <c r="AT536">
        <v>34.019399999999997</v>
      </c>
      <c r="AU536">
        <v>33.032837399999998</v>
      </c>
      <c r="AV536">
        <v>38763208.867964998</v>
      </c>
      <c r="AW536">
        <v>367272898.13020998</v>
      </c>
      <c r="AX536">
        <v>9.4747805678630108</v>
      </c>
      <c r="AY536">
        <v>1335144.402</v>
      </c>
      <c r="AZ536">
        <v>1.0413103033716999</v>
      </c>
      <c r="BA536">
        <v>1461691.4634146299</v>
      </c>
      <c r="BB536">
        <v>1.1400073122608301</v>
      </c>
      <c r="BC536">
        <v>24.641813132488</v>
      </c>
    </row>
    <row r="537" spans="1:55" x14ac:dyDescent="0.2">
      <c r="A537" t="s">
        <v>1106</v>
      </c>
      <c r="B537" t="s">
        <v>1107</v>
      </c>
      <c r="C537">
        <v>1560</v>
      </c>
      <c r="D537">
        <v>265</v>
      </c>
      <c r="E537">
        <v>255</v>
      </c>
      <c r="F537">
        <v>225</v>
      </c>
      <c r="G537">
        <v>110</v>
      </c>
      <c r="H537">
        <v>0</v>
      </c>
      <c r="I537">
        <v>2415</v>
      </c>
      <c r="J537">
        <v>49708.95</v>
      </c>
      <c r="K537">
        <v>629235.18999999994</v>
      </c>
      <c r="L537">
        <v>440464.63</v>
      </c>
      <c r="M537">
        <v>104228.63</v>
      </c>
      <c r="N537">
        <v>301628.34999999998</v>
      </c>
      <c r="O537">
        <v>797642.1</v>
      </c>
      <c r="P537">
        <v>67517489</v>
      </c>
      <c r="Q537">
        <v>134229.04</v>
      </c>
      <c r="R537">
        <v>33950.74</v>
      </c>
      <c r="S537">
        <v>230655.67</v>
      </c>
      <c r="T537">
        <v>1429205.98</v>
      </c>
      <c r="U537">
        <v>72</v>
      </c>
      <c r="V537">
        <v>0</v>
      </c>
      <c r="W537">
        <v>0</v>
      </c>
      <c r="X537">
        <v>0</v>
      </c>
      <c r="Y537">
        <v>0</v>
      </c>
      <c r="Z537">
        <v>134229.04</v>
      </c>
      <c r="AA537">
        <v>33950.74</v>
      </c>
      <c r="AB537">
        <v>230655.67</v>
      </c>
      <c r="AC537">
        <v>1429205.98</v>
      </c>
      <c r="AD537">
        <v>0.98</v>
      </c>
      <c r="AE537">
        <v>0.93</v>
      </c>
      <c r="AF537">
        <v>1.4</v>
      </c>
      <c r="AG537">
        <v>2.4900000000000002</v>
      </c>
      <c r="AH537">
        <v>0</v>
      </c>
      <c r="AI537">
        <v>0</v>
      </c>
      <c r="AJ537">
        <v>0</v>
      </c>
      <c r="AK537">
        <v>0</v>
      </c>
      <c r="AL537">
        <v>134229.04</v>
      </c>
      <c r="AM537">
        <v>33950.74</v>
      </c>
      <c r="AN537">
        <v>230655.67</v>
      </c>
      <c r="AO537">
        <v>1429205.98</v>
      </c>
      <c r="AP537">
        <v>440464.63</v>
      </c>
      <c r="AQ537">
        <v>104228.63</v>
      </c>
      <c r="AR537">
        <v>301628.34999999998</v>
      </c>
      <c r="AS537">
        <v>797642.1</v>
      </c>
      <c r="AT537">
        <v>32.658624000000003</v>
      </c>
      <c r="AU537">
        <v>31.711523904</v>
      </c>
      <c r="AV537">
        <v>21123838.860552002</v>
      </c>
      <c r="AW537">
        <v>255581378.03549001</v>
      </c>
      <c r="AX537">
        <v>12.099191805177901</v>
      </c>
      <c r="AY537">
        <v>642239.63399999996</v>
      </c>
      <c r="AZ537">
        <v>1.0206670640909301</v>
      </c>
      <c r="BA537">
        <v>735118.90243902395</v>
      </c>
      <c r="BB537">
        <v>1.16827366638382</v>
      </c>
      <c r="BC537">
        <v>24.3569399462204</v>
      </c>
    </row>
    <row r="538" spans="1:55" x14ac:dyDescent="0.2">
      <c r="A538" t="s">
        <v>1108</v>
      </c>
      <c r="B538" t="s">
        <v>1109</v>
      </c>
      <c r="C538">
        <v>750</v>
      </c>
      <c r="D538">
        <v>100</v>
      </c>
      <c r="E538">
        <v>250</v>
      </c>
      <c r="F538">
        <v>250</v>
      </c>
      <c r="G538">
        <v>100</v>
      </c>
      <c r="H538">
        <v>0</v>
      </c>
      <c r="I538">
        <v>1450</v>
      </c>
      <c r="J538">
        <v>26063.279999999999</v>
      </c>
      <c r="K538">
        <v>320920.21999999997</v>
      </c>
      <c r="L538">
        <v>224644.15</v>
      </c>
      <c r="M538">
        <v>53105.61</v>
      </c>
      <c r="N538">
        <v>143037.23000000001</v>
      </c>
      <c r="O538">
        <v>377163</v>
      </c>
      <c r="P538">
        <v>30548531</v>
      </c>
      <c r="Q538">
        <v>20795.91</v>
      </c>
      <c r="R538">
        <v>10474.370000000001</v>
      </c>
      <c r="S538">
        <v>47588.33</v>
      </c>
      <c r="T538">
        <v>444499.52</v>
      </c>
      <c r="U538">
        <v>68</v>
      </c>
      <c r="V538">
        <v>105987.4</v>
      </c>
      <c r="W538">
        <v>60943.6</v>
      </c>
      <c r="X538">
        <v>253379.4</v>
      </c>
      <c r="Y538">
        <v>0</v>
      </c>
      <c r="Z538">
        <v>20795.91</v>
      </c>
      <c r="AA538">
        <v>10474.370000000001</v>
      </c>
      <c r="AB538">
        <v>47588.33</v>
      </c>
      <c r="AC538">
        <v>444499.52</v>
      </c>
      <c r="AD538">
        <v>1.1599999999999999</v>
      </c>
      <c r="AE538">
        <v>1.68</v>
      </c>
      <c r="AF538">
        <v>1.42</v>
      </c>
      <c r="AG538">
        <v>2</v>
      </c>
      <c r="AH538">
        <v>0</v>
      </c>
      <c r="AI538">
        <v>0</v>
      </c>
      <c r="AJ538">
        <v>0</v>
      </c>
      <c r="AK538">
        <v>0</v>
      </c>
      <c r="AL538">
        <v>126783.31</v>
      </c>
      <c r="AM538">
        <v>71417.97</v>
      </c>
      <c r="AN538">
        <v>300967.73</v>
      </c>
      <c r="AO538">
        <v>444499.52</v>
      </c>
      <c r="AP538">
        <v>118656.75</v>
      </c>
      <c r="AQ538">
        <v>-7837.9899999999898</v>
      </c>
      <c r="AR538">
        <v>-110342.16999999899</v>
      </c>
      <c r="AS538">
        <v>377163</v>
      </c>
      <c r="AT538">
        <v>30.844256000000001</v>
      </c>
      <c r="AU538">
        <v>29.949772576000001</v>
      </c>
      <c r="AV538">
        <v>9291916.9417039994</v>
      </c>
      <c r="AW538">
        <v>115638714.73271</v>
      </c>
      <c r="AX538">
        <v>12.4450869996157</v>
      </c>
      <c r="AY538">
        <v>336737.57759999897</v>
      </c>
      <c r="AZ538">
        <v>1.0492875070321199</v>
      </c>
      <c r="BA538">
        <v>381469.51219512202</v>
      </c>
      <c r="BB538">
        <v>1.18867397073055</v>
      </c>
      <c r="BC538">
        <v>24.369315393386501</v>
      </c>
    </row>
    <row r="539" spans="1:55" x14ac:dyDescent="0.2">
      <c r="A539" t="s">
        <v>1110</v>
      </c>
      <c r="B539" t="s">
        <v>1111</v>
      </c>
      <c r="C539">
        <v>934</v>
      </c>
      <c r="D539">
        <v>78</v>
      </c>
      <c r="E539">
        <v>290</v>
      </c>
      <c r="F539">
        <v>242</v>
      </c>
      <c r="G539">
        <v>142</v>
      </c>
      <c r="H539">
        <v>10</v>
      </c>
      <c r="I539">
        <v>1696</v>
      </c>
      <c r="J539">
        <v>31625.56</v>
      </c>
      <c r="K539">
        <v>393976.38</v>
      </c>
      <c r="L539">
        <v>275783.46999999997</v>
      </c>
      <c r="M539">
        <v>65499.27</v>
      </c>
      <c r="N539">
        <v>182436.27</v>
      </c>
      <c r="O539">
        <v>458964</v>
      </c>
      <c r="P539">
        <v>21220604</v>
      </c>
      <c r="Q539">
        <v>46174.5</v>
      </c>
      <c r="R539">
        <v>8688.02</v>
      </c>
      <c r="S539">
        <v>44240.73</v>
      </c>
      <c r="T539">
        <v>316857.40999999997</v>
      </c>
      <c r="U539">
        <v>75</v>
      </c>
      <c r="V539">
        <v>0</v>
      </c>
      <c r="W539">
        <v>0</v>
      </c>
      <c r="X539">
        <v>0</v>
      </c>
      <c r="Y539">
        <v>0</v>
      </c>
      <c r="Z539">
        <v>46174.5</v>
      </c>
      <c r="AA539">
        <v>8688.02</v>
      </c>
      <c r="AB539">
        <v>44240.73</v>
      </c>
      <c r="AC539">
        <v>316857.40999999997</v>
      </c>
      <c r="AD539">
        <v>1.24</v>
      </c>
      <c r="AE539">
        <v>1.1599999999999999</v>
      </c>
      <c r="AF539">
        <v>1.28</v>
      </c>
      <c r="AG539">
        <v>2.16</v>
      </c>
      <c r="AH539">
        <v>85928.46</v>
      </c>
      <c r="AI539">
        <v>12102.6</v>
      </c>
      <c r="AJ539">
        <v>82297.679999999993</v>
      </c>
      <c r="AK539">
        <v>0</v>
      </c>
      <c r="AL539">
        <v>46174.5</v>
      </c>
      <c r="AM539">
        <v>8688.02</v>
      </c>
      <c r="AN539">
        <v>44240.73</v>
      </c>
      <c r="AO539">
        <v>316857.40999999997</v>
      </c>
      <c r="AP539">
        <v>189855.00999999899</v>
      </c>
      <c r="AQ539">
        <v>53396.669999999896</v>
      </c>
      <c r="AR539">
        <v>100138.59</v>
      </c>
      <c r="AS539">
        <v>458963.99999999901</v>
      </c>
      <c r="AT539">
        <v>34.019399999999997</v>
      </c>
      <c r="AU539">
        <v>33.032837399999998</v>
      </c>
      <c r="AV539">
        <v>12201669.478812</v>
      </c>
      <c r="AW539">
        <v>80328686.587640002</v>
      </c>
      <c r="AX539">
        <v>6.5834176812549599</v>
      </c>
      <c r="AY539">
        <v>408602.2352</v>
      </c>
      <c r="AZ539">
        <v>1.03712368543515</v>
      </c>
      <c r="BA539">
        <v>447187.31707316998</v>
      </c>
      <c r="BB539">
        <v>1.13506123659791</v>
      </c>
      <c r="BC539">
        <v>25.055030916679499</v>
      </c>
    </row>
    <row r="540" spans="1:55" x14ac:dyDescent="0.2">
      <c r="A540" t="s">
        <v>1112</v>
      </c>
      <c r="B540" t="s">
        <v>1113</v>
      </c>
      <c r="C540">
        <v>1650</v>
      </c>
      <c r="D540">
        <v>250</v>
      </c>
      <c r="E540">
        <v>200</v>
      </c>
      <c r="F540">
        <v>1225</v>
      </c>
      <c r="G540">
        <v>400</v>
      </c>
      <c r="H540">
        <v>0</v>
      </c>
      <c r="I540">
        <v>3725</v>
      </c>
      <c r="J540">
        <v>61409.54</v>
      </c>
      <c r="K540">
        <v>756742.27</v>
      </c>
      <c r="L540">
        <v>529719.59</v>
      </c>
      <c r="M540">
        <v>124376.65</v>
      </c>
      <c r="N540">
        <v>316855.95</v>
      </c>
      <c r="O540">
        <v>836676</v>
      </c>
      <c r="P540">
        <v>12437733</v>
      </c>
      <c r="Q540">
        <v>33530.050000000003</v>
      </c>
      <c r="R540">
        <v>5414.51</v>
      </c>
      <c r="S540">
        <v>49875.02</v>
      </c>
      <c r="T540">
        <v>302622.73</v>
      </c>
      <c r="U540">
        <v>70</v>
      </c>
      <c r="V540">
        <v>208683</v>
      </c>
      <c r="W540">
        <v>59779.199999999997</v>
      </c>
      <c r="X540">
        <v>192703.8</v>
      </c>
      <c r="Y540">
        <v>0</v>
      </c>
      <c r="Z540">
        <v>33530.050000000003</v>
      </c>
      <c r="AA540">
        <v>5414.51</v>
      </c>
      <c r="AB540">
        <v>49875.02</v>
      </c>
      <c r="AC540">
        <v>302622.73</v>
      </c>
      <c r="AD540">
        <v>1.19</v>
      </c>
      <c r="AE540">
        <v>1.1599999999999999</v>
      </c>
      <c r="AF540">
        <v>0.82</v>
      </c>
      <c r="AG540">
        <v>1.3</v>
      </c>
      <c r="AH540">
        <v>0</v>
      </c>
      <c r="AI540">
        <v>0</v>
      </c>
      <c r="AJ540">
        <v>0</v>
      </c>
      <c r="AK540">
        <v>0</v>
      </c>
      <c r="AL540">
        <v>242213.05</v>
      </c>
      <c r="AM540">
        <v>65193.71</v>
      </c>
      <c r="AN540">
        <v>242578.81999999899</v>
      </c>
      <c r="AO540">
        <v>302622.73</v>
      </c>
      <c r="AP540">
        <v>321036.59000000003</v>
      </c>
      <c r="AQ540">
        <v>64597.449999999903</v>
      </c>
      <c r="AR540">
        <v>124152.15</v>
      </c>
      <c r="AS540">
        <v>836676</v>
      </c>
      <c r="AT540">
        <v>31.751439999999999</v>
      </c>
      <c r="AU540">
        <v>30.830648239999999</v>
      </c>
      <c r="AV540">
        <v>21381054.554439999</v>
      </c>
      <c r="AW540">
        <v>47081918.875529997</v>
      </c>
      <c r="AX540">
        <v>2.20203913495711</v>
      </c>
      <c r="AY540">
        <v>793411.25679999997</v>
      </c>
      <c r="AZ540">
        <v>1.04845637445361</v>
      </c>
      <c r="BA540">
        <v>901594.51219512196</v>
      </c>
      <c r="BB540">
        <v>1.1914155557811199</v>
      </c>
      <c r="BC540">
        <v>23.9163252434101</v>
      </c>
    </row>
    <row r="541" spans="1:55" x14ac:dyDescent="0.2">
      <c r="A541" t="s">
        <v>1114</v>
      </c>
      <c r="B541" t="s">
        <v>1115</v>
      </c>
      <c r="C541">
        <v>750</v>
      </c>
      <c r="D541">
        <v>100</v>
      </c>
      <c r="E541">
        <v>100</v>
      </c>
      <c r="F541">
        <v>100</v>
      </c>
      <c r="G541">
        <v>0</v>
      </c>
      <c r="H541">
        <v>0</v>
      </c>
      <c r="I541">
        <v>1050</v>
      </c>
      <c r="J541">
        <v>22602.85</v>
      </c>
      <c r="K541">
        <v>289556.21000000002</v>
      </c>
      <c r="L541">
        <v>202689.35</v>
      </c>
      <c r="M541">
        <v>48336.44</v>
      </c>
      <c r="N541">
        <v>144025.43</v>
      </c>
      <c r="O541">
        <v>377163</v>
      </c>
      <c r="P541">
        <v>2844679</v>
      </c>
      <c r="Q541">
        <v>6057.1</v>
      </c>
      <c r="R541">
        <v>1587.28</v>
      </c>
      <c r="S541">
        <v>10866.49</v>
      </c>
      <c r="T541">
        <v>58684.99</v>
      </c>
      <c r="U541">
        <v>70</v>
      </c>
      <c r="V541">
        <v>16368</v>
      </c>
      <c r="W541">
        <v>4224</v>
      </c>
      <c r="X541">
        <v>19852.8</v>
      </c>
      <c r="Y541">
        <v>0</v>
      </c>
      <c r="Z541">
        <v>6057.1</v>
      </c>
      <c r="AA541">
        <v>1587.28</v>
      </c>
      <c r="AB541">
        <v>10866.49</v>
      </c>
      <c r="AC541">
        <v>58684.99</v>
      </c>
      <c r="AD541">
        <v>1.18</v>
      </c>
      <c r="AE541">
        <v>1.32</v>
      </c>
      <c r="AF541">
        <v>1.37</v>
      </c>
      <c r="AG541">
        <v>1.45</v>
      </c>
      <c r="AH541">
        <v>21120</v>
      </c>
      <c r="AI541">
        <v>6600</v>
      </c>
      <c r="AJ541">
        <v>31240</v>
      </c>
      <c r="AK541">
        <v>0</v>
      </c>
      <c r="AL541">
        <v>22425.1</v>
      </c>
      <c r="AM541">
        <v>5811.28</v>
      </c>
      <c r="AN541">
        <v>30719.29</v>
      </c>
      <c r="AO541">
        <v>58684.99</v>
      </c>
      <c r="AP541">
        <v>165201.35</v>
      </c>
      <c r="AQ541">
        <v>37512.44</v>
      </c>
      <c r="AR541">
        <v>92932.629999999903</v>
      </c>
      <c r="AS541">
        <v>377163</v>
      </c>
      <c r="AT541">
        <v>31.751439999999999</v>
      </c>
      <c r="AU541">
        <v>30.830648239999999</v>
      </c>
      <c r="AV541">
        <v>9565208.6164599992</v>
      </c>
      <c r="AW541">
        <v>10768276.333389999</v>
      </c>
      <c r="AX541">
        <v>1.1257753766979699</v>
      </c>
      <c r="AY541">
        <v>292028.82199999999</v>
      </c>
      <c r="AZ541">
        <v>1.0085393160795899</v>
      </c>
      <c r="BA541">
        <v>336957.31707316998</v>
      </c>
      <c r="BB541">
        <v>1.16370260915202</v>
      </c>
      <c r="BC541">
        <v>24.483932628797799</v>
      </c>
    </row>
    <row r="542" spans="1:55" x14ac:dyDescent="0.2">
      <c r="A542" t="s">
        <v>1116</v>
      </c>
      <c r="B542" t="s">
        <v>1117</v>
      </c>
      <c r="C542">
        <v>2285</v>
      </c>
      <c r="D542">
        <v>250</v>
      </c>
      <c r="E542">
        <v>577</v>
      </c>
      <c r="F542">
        <v>865</v>
      </c>
      <c r="G542">
        <v>775</v>
      </c>
      <c r="H542">
        <v>815</v>
      </c>
      <c r="I542">
        <v>5567</v>
      </c>
      <c r="J542">
        <v>83721.06</v>
      </c>
      <c r="K542">
        <v>1050464.6599999999</v>
      </c>
      <c r="L542">
        <v>735325.26</v>
      </c>
      <c r="M542">
        <v>168347.31</v>
      </c>
      <c r="N542">
        <v>446324.27</v>
      </c>
      <c r="O542">
        <v>1136484.8999999999</v>
      </c>
      <c r="P542">
        <v>65602297</v>
      </c>
      <c r="Q542">
        <v>149188.47</v>
      </c>
      <c r="R542">
        <v>11280.82</v>
      </c>
      <c r="S542">
        <v>132029.01999999999</v>
      </c>
      <c r="T542">
        <v>963409.59</v>
      </c>
      <c r="U542">
        <v>75</v>
      </c>
      <c r="V542">
        <v>0</v>
      </c>
      <c r="W542">
        <v>0</v>
      </c>
      <c r="X542">
        <v>0</v>
      </c>
      <c r="Y542">
        <v>0</v>
      </c>
      <c r="Z542">
        <v>149188.47</v>
      </c>
      <c r="AA542">
        <v>11280.82</v>
      </c>
      <c r="AB542">
        <v>132029.01999999999</v>
      </c>
      <c r="AC542">
        <v>963409.59</v>
      </c>
      <c r="AD542">
        <v>1.1399999999999999</v>
      </c>
      <c r="AE542">
        <v>0.37</v>
      </c>
      <c r="AF542">
        <v>1.02</v>
      </c>
      <c r="AG542">
        <v>1.69</v>
      </c>
      <c r="AH542">
        <v>0</v>
      </c>
      <c r="AI542">
        <v>0</v>
      </c>
      <c r="AJ542">
        <v>0</v>
      </c>
      <c r="AK542">
        <v>0</v>
      </c>
      <c r="AL542">
        <v>149188.47</v>
      </c>
      <c r="AM542">
        <v>11280.82</v>
      </c>
      <c r="AN542">
        <v>132029.01999999999</v>
      </c>
      <c r="AO542">
        <v>963409.59</v>
      </c>
      <c r="AP542">
        <v>735325.26</v>
      </c>
      <c r="AQ542">
        <v>168347.31</v>
      </c>
      <c r="AR542">
        <v>446324.27</v>
      </c>
      <c r="AS542">
        <v>1136484.8999999999</v>
      </c>
      <c r="AT542">
        <v>34.019399999999997</v>
      </c>
      <c r="AU542">
        <v>33.032837399999998</v>
      </c>
      <c r="AV542">
        <v>30564458.625284899</v>
      </c>
      <c r="AW542">
        <v>248331591.08677</v>
      </c>
      <c r="AX542">
        <v>8.1248483453043399</v>
      </c>
      <c r="AY542">
        <v>1081676.0951999901</v>
      </c>
      <c r="AZ542">
        <v>1.0297120278182399</v>
      </c>
      <c r="BA542">
        <v>1188609.1463414601</v>
      </c>
      <c r="BB542">
        <v>1.13150798080295</v>
      </c>
      <c r="BC542">
        <v>22.973352474651101</v>
      </c>
    </row>
    <row r="543" spans="1:55" x14ac:dyDescent="0.2">
      <c r="A543" t="s">
        <v>1118</v>
      </c>
      <c r="B543" t="s">
        <v>1119</v>
      </c>
      <c r="C543">
        <v>0</v>
      </c>
      <c r="D543">
        <v>0</v>
      </c>
      <c r="E543">
        <v>0</v>
      </c>
      <c r="F543">
        <v>500</v>
      </c>
      <c r="G543">
        <v>0</v>
      </c>
      <c r="H543">
        <v>0</v>
      </c>
      <c r="I543">
        <v>500</v>
      </c>
      <c r="J543">
        <v>4829.3500000000004</v>
      </c>
      <c r="K543">
        <v>47580</v>
      </c>
      <c r="L543">
        <v>33306</v>
      </c>
      <c r="M543">
        <v>8052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2.15</v>
      </c>
      <c r="AE543">
        <v>0</v>
      </c>
      <c r="AF543">
        <v>0</v>
      </c>
      <c r="AG543">
        <v>6.03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33306</v>
      </c>
      <c r="AQ543">
        <v>8052</v>
      </c>
      <c r="AR543">
        <v>1</v>
      </c>
      <c r="AS543">
        <v>0</v>
      </c>
      <c r="AT543">
        <v>0.453592</v>
      </c>
      <c r="AU543">
        <v>0.44043783199999997</v>
      </c>
      <c r="AV543">
        <v>0</v>
      </c>
      <c r="AW543">
        <v>0</v>
      </c>
      <c r="AY543">
        <v>62395.201999999997</v>
      </c>
      <c r="AZ543">
        <v>1.3113745691467</v>
      </c>
      <c r="BA543">
        <v>66768.292682926796</v>
      </c>
      <c r="BB543">
        <v>1.40328483991019</v>
      </c>
      <c r="BC543">
        <v>26.4004466666666</v>
      </c>
    </row>
    <row r="544" spans="1:55" x14ac:dyDescent="0.2">
      <c r="A544" t="s">
        <v>1120</v>
      </c>
      <c r="B544" t="s">
        <v>1121</v>
      </c>
      <c r="C544">
        <v>4525</v>
      </c>
      <c r="D544">
        <v>455</v>
      </c>
      <c r="E544">
        <v>5325</v>
      </c>
      <c r="F544">
        <v>3515</v>
      </c>
      <c r="G544">
        <v>975</v>
      </c>
      <c r="H544">
        <v>0</v>
      </c>
      <c r="I544">
        <v>14795</v>
      </c>
      <c r="J544">
        <v>218893.96</v>
      </c>
      <c r="K544">
        <v>2531003.42</v>
      </c>
      <c r="L544">
        <v>1771702.39</v>
      </c>
      <c r="M544">
        <v>420907.76</v>
      </c>
      <c r="N544">
        <v>883858.79</v>
      </c>
      <c r="O544">
        <v>2241347.4</v>
      </c>
      <c r="P544">
        <v>383119524</v>
      </c>
      <c r="Q544">
        <v>829648.12</v>
      </c>
      <c r="R544">
        <v>96726.79</v>
      </c>
      <c r="S544">
        <v>1375230.76</v>
      </c>
      <c r="T544">
        <v>8072991.6799999997</v>
      </c>
      <c r="U544">
        <v>75</v>
      </c>
      <c r="V544">
        <v>0</v>
      </c>
      <c r="W544">
        <v>0</v>
      </c>
      <c r="X544">
        <v>0</v>
      </c>
      <c r="Y544">
        <v>0</v>
      </c>
      <c r="Z544">
        <v>829648.12</v>
      </c>
      <c r="AA544">
        <v>96726.79</v>
      </c>
      <c r="AB544">
        <v>1375230.76</v>
      </c>
      <c r="AC544">
        <v>8072991.6799999997</v>
      </c>
      <c r="AD544">
        <v>0.89</v>
      </c>
      <c r="AE544">
        <v>0.54</v>
      </c>
      <c r="AF544">
        <v>1.67</v>
      </c>
      <c r="AG544">
        <v>2.2599999999999998</v>
      </c>
      <c r="AH544">
        <v>0</v>
      </c>
      <c r="AI544">
        <v>0</v>
      </c>
      <c r="AJ544">
        <v>0</v>
      </c>
      <c r="AK544">
        <v>0</v>
      </c>
      <c r="AL544">
        <v>829648.12</v>
      </c>
      <c r="AM544">
        <v>96726.79</v>
      </c>
      <c r="AN544">
        <v>1375230.76</v>
      </c>
      <c r="AO544">
        <v>8072991.6799999997</v>
      </c>
      <c r="AP544">
        <v>1771702.3899999899</v>
      </c>
      <c r="AQ544">
        <v>420907.76</v>
      </c>
      <c r="AR544">
        <v>883858.78999999899</v>
      </c>
      <c r="AS544">
        <v>2241347.4</v>
      </c>
      <c r="AT544">
        <v>34.019399999999997</v>
      </c>
      <c r="AU544">
        <v>33.032837399999998</v>
      </c>
      <c r="AV544">
        <v>60043788.541979998</v>
      </c>
      <c r="AW544">
        <v>1450264477.34484</v>
      </c>
      <c r="AX544">
        <v>24.153447218455799</v>
      </c>
      <c r="AY544">
        <v>2828109.9631999899</v>
      </c>
      <c r="AZ544">
        <v>1.1173868596352901</v>
      </c>
      <c r="BA544">
        <v>3041562.8048780402</v>
      </c>
      <c r="BB544">
        <v>1.20172212366194</v>
      </c>
      <c r="BC544">
        <v>25.539341671290899</v>
      </c>
    </row>
    <row r="545" spans="1:55" x14ac:dyDescent="0.2">
      <c r="A545" t="s">
        <v>1122</v>
      </c>
      <c r="B545" t="s">
        <v>1123</v>
      </c>
      <c r="C545">
        <v>2875</v>
      </c>
      <c r="D545">
        <v>170</v>
      </c>
      <c r="E545">
        <v>0</v>
      </c>
      <c r="F545">
        <v>0</v>
      </c>
      <c r="G545">
        <v>0</v>
      </c>
      <c r="H545">
        <v>0</v>
      </c>
      <c r="I545">
        <v>3045</v>
      </c>
      <c r="J545">
        <v>76543.37</v>
      </c>
      <c r="K545">
        <v>997969.48</v>
      </c>
      <c r="L545">
        <v>698578.64</v>
      </c>
      <c r="M545">
        <v>167790.02</v>
      </c>
      <c r="N545">
        <v>552097.49</v>
      </c>
      <c r="O545">
        <v>1396601.1</v>
      </c>
      <c r="P545">
        <v>58552166</v>
      </c>
      <c r="Q545">
        <v>125976.33</v>
      </c>
      <c r="R545">
        <v>35363.5</v>
      </c>
      <c r="S545">
        <v>134120.74</v>
      </c>
      <c r="T545">
        <v>680486.18</v>
      </c>
      <c r="U545">
        <v>70</v>
      </c>
      <c r="V545">
        <v>93677.4</v>
      </c>
      <c r="W545">
        <v>40687.199999999997</v>
      </c>
      <c r="X545">
        <v>99492.6</v>
      </c>
      <c r="Y545">
        <v>0</v>
      </c>
      <c r="Z545">
        <v>125976.33</v>
      </c>
      <c r="AA545">
        <v>35363.5</v>
      </c>
      <c r="AB545">
        <v>134120.74</v>
      </c>
      <c r="AC545">
        <v>680486.18</v>
      </c>
      <c r="AD545">
        <v>1.45</v>
      </c>
      <c r="AE545">
        <v>1.72</v>
      </c>
      <c r="AF545">
        <v>0.98</v>
      </c>
      <c r="AG545">
        <v>1.87</v>
      </c>
      <c r="AH545">
        <v>0</v>
      </c>
      <c r="AI545">
        <v>0</v>
      </c>
      <c r="AJ545">
        <v>0</v>
      </c>
      <c r="AK545">
        <v>0</v>
      </c>
      <c r="AL545">
        <v>219653.72999999899</v>
      </c>
      <c r="AM545">
        <v>76050.7</v>
      </c>
      <c r="AN545">
        <v>233613.34</v>
      </c>
      <c r="AO545">
        <v>680486.18</v>
      </c>
      <c r="AP545">
        <v>604901.24</v>
      </c>
      <c r="AQ545">
        <v>127102.819999999</v>
      </c>
      <c r="AR545">
        <v>452604.89</v>
      </c>
      <c r="AS545">
        <v>1396601.1</v>
      </c>
      <c r="AT545">
        <v>31.751439999999999</v>
      </c>
      <c r="AU545">
        <v>30.830648239999999</v>
      </c>
      <c r="AV545">
        <v>34265953.220141999</v>
      </c>
      <c r="AW545">
        <v>221643954.69806001</v>
      </c>
      <c r="AX545">
        <v>6.4683434683432202</v>
      </c>
      <c r="AY545">
        <v>988940.34039999999</v>
      </c>
      <c r="AZ545">
        <v>0.99095248924846802</v>
      </c>
      <c r="BA545">
        <v>1111425</v>
      </c>
      <c r="BB545">
        <v>1.1136863624326401</v>
      </c>
      <c r="BC545">
        <v>25.137395730706</v>
      </c>
    </row>
    <row r="546" spans="1:55" x14ac:dyDescent="0.2">
      <c r="A546" t="s">
        <v>1124</v>
      </c>
      <c r="B546" t="s">
        <v>1125</v>
      </c>
      <c r="C546">
        <v>0</v>
      </c>
      <c r="D546">
        <v>200</v>
      </c>
      <c r="E546">
        <v>400</v>
      </c>
      <c r="F546">
        <v>200</v>
      </c>
      <c r="G546">
        <v>0</v>
      </c>
      <c r="H546">
        <v>0</v>
      </c>
      <c r="I546">
        <v>800</v>
      </c>
      <c r="J546">
        <v>8551.84</v>
      </c>
      <c r="K546">
        <v>93440</v>
      </c>
      <c r="L546">
        <v>65408</v>
      </c>
      <c r="M546">
        <v>14454</v>
      </c>
      <c r="N546">
        <v>1</v>
      </c>
      <c r="O546">
        <v>45990</v>
      </c>
      <c r="P546">
        <v>8506575</v>
      </c>
      <c r="Q546">
        <v>24741.66</v>
      </c>
      <c r="R546">
        <v>2656.32</v>
      </c>
      <c r="S546">
        <v>21015.62</v>
      </c>
      <c r="T546">
        <v>137005.49</v>
      </c>
      <c r="U546">
        <v>1</v>
      </c>
      <c r="V546">
        <v>52910.87</v>
      </c>
      <c r="W546">
        <v>17541.55</v>
      </c>
      <c r="X546">
        <v>51840.9</v>
      </c>
      <c r="Y546">
        <v>18661.2</v>
      </c>
      <c r="Z546">
        <v>24741.66</v>
      </c>
      <c r="AA546">
        <v>2656.32</v>
      </c>
      <c r="AB546">
        <v>21015.62</v>
      </c>
      <c r="AC546">
        <v>137005.49</v>
      </c>
      <c r="AD546">
        <v>1.07</v>
      </c>
      <c r="AE546">
        <v>1.4</v>
      </c>
      <c r="AF546">
        <v>1.1100000000000001</v>
      </c>
      <c r="AG546">
        <v>0.44</v>
      </c>
      <c r="AH546">
        <v>0</v>
      </c>
      <c r="AI546">
        <v>0</v>
      </c>
      <c r="AJ546">
        <v>0</v>
      </c>
      <c r="AK546">
        <v>0</v>
      </c>
      <c r="AL546">
        <v>77652.53</v>
      </c>
      <c r="AM546">
        <v>20197.87</v>
      </c>
      <c r="AN546">
        <v>72856.52</v>
      </c>
      <c r="AO546">
        <v>155666.69</v>
      </c>
      <c r="AP546">
        <v>12497.13</v>
      </c>
      <c r="AQ546">
        <v>-3087.5499999999902</v>
      </c>
      <c r="AR546">
        <v>-51839.9</v>
      </c>
      <c r="AS546">
        <v>27328.799999999901</v>
      </c>
      <c r="AT546">
        <v>0.453592</v>
      </c>
      <c r="AU546">
        <v>0.44043783199999997</v>
      </c>
      <c r="AV546">
        <v>32151.961736000001</v>
      </c>
      <c r="AW546">
        <v>32200874.070750002</v>
      </c>
      <c r="AX546">
        <v>1001.5212861707</v>
      </c>
      <c r="AY546">
        <v>110489.77280000001</v>
      </c>
      <c r="AZ546">
        <v>1.1824676027397201</v>
      </c>
      <c r="BA546">
        <v>153121.951219512</v>
      </c>
      <c r="BB546">
        <v>1.6387195121951199</v>
      </c>
      <c r="BC546">
        <v>20.385200000000001</v>
      </c>
    </row>
    <row r="547" spans="1:55" x14ac:dyDescent="0.2">
      <c r="A547" t="s">
        <v>1126</v>
      </c>
      <c r="B547" t="s">
        <v>1127</v>
      </c>
      <c r="C547">
        <v>900</v>
      </c>
      <c r="D547">
        <v>200</v>
      </c>
      <c r="E547">
        <v>600</v>
      </c>
      <c r="F547">
        <v>500</v>
      </c>
      <c r="G547">
        <v>150</v>
      </c>
      <c r="H547">
        <v>0</v>
      </c>
      <c r="I547">
        <v>2350</v>
      </c>
      <c r="J547">
        <v>37692.75</v>
      </c>
      <c r="K547">
        <v>458555.04</v>
      </c>
      <c r="L547">
        <v>320988.53000000003</v>
      </c>
      <c r="M547">
        <v>75602.289999999994</v>
      </c>
      <c r="N547">
        <v>175795.12</v>
      </c>
      <c r="O547">
        <v>471042</v>
      </c>
      <c r="P547">
        <v>11937000</v>
      </c>
      <c r="Q547">
        <v>104000.65</v>
      </c>
      <c r="R547">
        <v>24299.97</v>
      </c>
      <c r="S547">
        <v>139823.20000000001</v>
      </c>
      <c r="T547">
        <v>694464.14</v>
      </c>
      <c r="U547">
        <v>75</v>
      </c>
      <c r="V547">
        <v>0</v>
      </c>
      <c r="W547">
        <v>0</v>
      </c>
      <c r="X547">
        <v>0</v>
      </c>
      <c r="Y547">
        <v>0</v>
      </c>
      <c r="Z547">
        <v>104000.65</v>
      </c>
      <c r="AA547">
        <v>24299.97</v>
      </c>
      <c r="AB547">
        <v>139823.20000000001</v>
      </c>
      <c r="AC547">
        <v>694464.14</v>
      </c>
      <c r="AD547">
        <v>0.93</v>
      </c>
      <c r="AE547">
        <v>0.54</v>
      </c>
      <c r="AF547">
        <v>0.83</v>
      </c>
      <c r="AG547">
        <v>9.65</v>
      </c>
      <c r="AH547">
        <v>277285.12</v>
      </c>
      <c r="AI547">
        <v>206814.87</v>
      </c>
      <c r="AJ547">
        <v>648019.93000000005</v>
      </c>
      <c r="AK547">
        <v>6537801.0300000003</v>
      </c>
      <c r="AL547">
        <v>104000.65</v>
      </c>
      <c r="AM547">
        <v>24299.97</v>
      </c>
      <c r="AN547">
        <v>139823.20000000001</v>
      </c>
      <c r="AO547">
        <v>694464.14</v>
      </c>
      <c r="AP547">
        <v>43703.41</v>
      </c>
      <c r="AQ547">
        <v>-131212.57999999999</v>
      </c>
      <c r="AR547">
        <v>-472224.81</v>
      </c>
      <c r="AS547">
        <v>-6066759.0300000003</v>
      </c>
      <c r="AT547">
        <v>34.019399999999997</v>
      </c>
      <c r="AU547">
        <v>33.032837399999998</v>
      </c>
      <c r="AV547">
        <v>13262684.216099899</v>
      </c>
      <c r="AW547">
        <v>45186439.170000002</v>
      </c>
      <c r="AX547">
        <v>3.4070357428209501</v>
      </c>
      <c r="AY547">
        <v>486990.33</v>
      </c>
      <c r="AZ547">
        <v>1.06201063671658</v>
      </c>
      <c r="BA547">
        <v>555067.07317073096</v>
      </c>
      <c r="BB547">
        <v>1.2104698994710199</v>
      </c>
      <c r="BC547">
        <v>24.203645262333499</v>
      </c>
    </row>
    <row r="548" spans="1:55" x14ac:dyDescent="0.2">
      <c r="A548" t="s">
        <v>1128</v>
      </c>
      <c r="B548" t="s">
        <v>1129</v>
      </c>
      <c r="C548">
        <v>0</v>
      </c>
      <c r="D548">
        <v>0</v>
      </c>
      <c r="E548">
        <v>0</v>
      </c>
      <c r="F548">
        <v>10</v>
      </c>
      <c r="G548">
        <v>8</v>
      </c>
      <c r="H548">
        <v>0</v>
      </c>
      <c r="I548">
        <v>18</v>
      </c>
      <c r="J548">
        <v>122.1</v>
      </c>
      <c r="K548">
        <v>1361.52</v>
      </c>
      <c r="L548">
        <v>953.06</v>
      </c>
      <c r="M548">
        <v>190.03</v>
      </c>
      <c r="N548">
        <v>1</v>
      </c>
      <c r="O548">
        <v>0</v>
      </c>
      <c r="P548">
        <v>888000</v>
      </c>
      <c r="Q548">
        <v>5591.12</v>
      </c>
      <c r="R548">
        <v>889.24</v>
      </c>
      <c r="S548">
        <v>5335.46</v>
      </c>
      <c r="T548">
        <v>34087.660000000003</v>
      </c>
      <c r="U548">
        <v>1</v>
      </c>
      <c r="V548">
        <v>54163.199999999997</v>
      </c>
      <c r="W548">
        <v>24502.400000000001</v>
      </c>
      <c r="X548">
        <v>103168</v>
      </c>
      <c r="Y548">
        <v>0</v>
      </c>
      <c r="Z548">
        <v>5591.12</v>
      </c>
      <c r="AA548">
        <v>889.24</v>
      </c>
      <c r="AB548">
        <v>5335.46</v>
      </c>
      <c r="AC548">
        <v>34087.660000000003</v>
      </c>
      <c r="AD548">
        <v>0.86</v>
      </c>
      <c r="AE548">
        <v>0.34</v>
      </c>
      <c r="AF548">
        <v>0.49</v>
      </c>
      <c r="AG548">
        <v>3.1</v>
      </c>
      <c r="AH548">
        <v>0</v>
      </c>
      <c r="AI548">
        <v>0</v>
      </c>
      <c r="AJ548">
        <v>0</v>
      </c>
      <c r="AK548">
        <v>0</v>
      </c>
      <c r="AL548">
        <v>59754.32</v>
      </c>
      <c r="AM548">
        <v>25391.64</v>
      </c>
      <c r="AN548">
        <v>108503.46</v>
      </c>
      <c r="AO548">
        <v>34087.660000000003</v>
      </c>
      <c r="AP548">
        <v>-53210.14</v>
      </c>
      <c r="AQ548">
        <v>-24312.37</v>
      </c>
      <c r="AR548">
        <v>-103167</v>
      </c>
      <c r="AS548">
        <v>0</v>
      </c>
      <c r="AT548">
        <v>0.453592</v>
      </c>
      <c r="AU548">
        <v>0.44043783199999997</v>
      </c>
      <c r="AV548">
        <v>0</v>
      </c>
      <c r="AW548">
        <v>3361444.08</v>
      </c>
      <c r="AY548">
        <v>1577.5319999999999</v>
      </c>
      <c r="AZ548">
        <v>1.15865503261061</v>
      </c>
      <c r="BA548">
        <v>1691.46341463414</v>
      </c>
      <c r="BB548">
        <v>1.24233460737568</v>
      </c>
      <c r="BC548">
        <v>18.5411111111111</v>
      </c>
    </row>
    <row r="549" spans="1:55" x14ac:dyDescent="0.2">
      <c r="A549" t="s">
        <v>1130</v>
      </c>
      <c r="B549" t="s">
        <v>1131</v>
      </c>
      <c r="C549">
        <v>750</v>
      </c>
      <c r="D549">
        <v>0</v>
      </c>
      <c r="E549">
        <v>200</v>
      </c>
      <c r="F549">
        <v>125</v>
      </c>
      <c r="G549">
        <v>0</v>
      </c>
      <c r="H549">
        <v>0</v>
      </c>
      <c r="I549">
        <v>1075</v>
      </c>
      <c r="J549">
        <v>22907.35</v>
      </c>
      <c r="K549">
        <v>288921.2</v>
      </c>
      <c r="L549">
        <v>202244.84</v>
      </c>
      <c r="M549">
        <v>48994.78</v>
      </c>
      <c r="N549">
        <v>146495.93</v>
      </c>
      <c r="O549">
        <v>354105</v>
      </c>
      <c r="P549">
        <v>19853000</v>
      </c>
      <c r="Q549">
        <v>79548.13</v>
      </c>
      <c r="R549">
        <v>123532.19</v>
      </c>
      <c r="S549">
        <v>120170.67</v>
      </c>
      <c r="T549">
        <v>529212.18999999994</v>
      </c>
      <c r="U549">
        <v>75</v>
      </c>
      <c r="V549">
        <v>0</v>
      </c>
      <c r="W549">
        <v>0</v>
      </c>
      <c r="X549">
        <v>0</v>
      </c>
      <c r="Y549">
        <v>0</v>
      </c>
      <c r="Z549">
        <v>79548.13</v>
      </c>
      <c r="AA549">
        <v>123532.19</v>
      </c>
      <c r="AB549">
        <v>120170.67</v>
      </c>
      <c r="AC549">
        <v>529212.18999999994</v>
      </c>
      <c r="AD549">
        <v>1.19</v>
      </c>
      <c r="AE549">
        <v>7.03</v>
      </c>
      <c r="AF549">
        <v>1.4</v>
      </c>
      <c r="AG549">
        <v>5.85</v>
      </c>
      <c r="AH549">
        <v>137413.32</v>
      </c>
      <c r="AI549">
        <v>78470.240000000005</v>
      </c>
      <c r="AJ549">
        <v>24228.14</v>
      </c>
      <c r="AK549">
        <v>530367.19999999995</v>
      </c>
      <c r="AL549">
        <v>79548.13</v>
      </c>
      <c r="AM549">
        <v>123532.19</v>
      </c>
      <c r="AN549">
        <v>120170.67</v>
      </c>
      <c r="AO549">
        <v>529212.18999999994</v>
      </c>
      <c r="AP549">
        <v>64831.519999999902</v>
      </c>
      <c r="AQ549">
        <v>-29475.46</v>
      </c>
      <c r="AR549">
        <v>122267.79</v>
      </c>
      <c r="AS549">
        <v>-176262.19999999899</v>
      </c>
      <c r="AT549">
        <v>34.019399999999997</v>
      </c>
      <c r="AU549">
        <v>33.032837399999998</v>
      </c>
      <c r="AV549">
        <v>9042739.2382500004</v>
      </c>
      <c r="AW549">
        <v>75151744.730000004</v>
      </c>
      <c r="AX549">
        <v>8.3107278392054695</v>
      </c>
      <c r="AY549">
        <v>295962.962</v>
      </c>
      <c r="AZ549">
        <v>1.0243726040179799</v>
      </c>
      <c r="BA549">
        <v>317149.39024390199</v>
      </c>
      <c r="BB549">
        <v>1.0977020386316401</v>
      </c>
      <c r="BC549">
        <v>26.363546666666601</v>
      </c>
    </row>
    <row r="550" spans="1:55" x14ac:dyDescent="0.2">
      <c r="A550" t="s">
        <v>1132</v>
      </c>
      <c r="B550" t="s">
        <v>1133</v>
      </c>
      <c r="C550">
        <v>1450</v>
      </c>
      <c r="D550">
        <v>230</v>
      </c>
      <c r="E550">
        <v>600</v>
      </c>
      <c r="F550">
        <v>300</v>
      </c>
      <c r="G550">
        <v>200</v>
      </c>
      <c r="H550">
        <v>0</v>
      </c>
      <c r="I550">
        <v>2780</v>
      </c>
      <c r="J550">
        <v>51061.07</v>
      </c>
      <c r="K550">
        <v>636770.79</v>
      </c>
      <c r="L550">
        <v>445739.55</v>
      </c>
      <c r="M550">
        <v>105378.73</v>
      </c>
      <c r="N550">
        <v>283225.46999999997</v>
      </c>
      <c r="O550">
        <v>737636.4</v>
      </c>
      <c r="P550">
        <v>217254000</v>
      </c>
      <c r="Q550">
        <v>208578.93</v>
      </c>
      <c r="R550">
        <v>33556.81</v>
      </c>
      <c r="S550">
        <v>180583.89</v>
      </c>
      <c r="T550">
        <v>1108603.04</v>
      </c>
      <c r="U550">
        <v>75</v>
      </c>
      <c r="V550">
        <v>0</v>
      </c>
      <c r="W550">
        <v>0</v>
      </c>
      <c r="X550">
        <v>0</v>
      </c>
      <c r="Y550">
        <v>0</v>
      </c>
      <c r="Z550">
        <v>208578.93</v>
      </c>
      <c r="AA550">
        <v>33556.81</v>
      </c>
      <c r="AB550">
        <v>180583.89</v>
      </c>
      <c r="AC550">
        <v>1108603.04</v>
      </c>
      <c r="AD550">
        <v>0.81</v>
      </c>
      <c r="AE550">
        <v>0.31</v>
      </c>
      <c r="AF550">
        <v>0.28000000000000003</v>
      </c>
      <c r="AG550">
        <v>1.41</v>
      </c>
      <c r="AH550">
        <v>220637.2</v>
      </c>
      <c r="AI550">
        <v>160590.37</v>
      </c>
      <c r="AJ550">
        <v>247169.53</v>
      </c>
      <c r="AK550">
        <v>4021741.44</v>
      </c>
      <c r="AL550">
        <v>208578.93</v>
      </c>
      <c r="AM550">
        <v>33556.81</v>
      </c>
      <c r="AN550">
        <v>180583.89</v>
      </c>
      <c r="AO550">
        <v>1108603.04</v>
      </c>
      <c r="AP550">
        <v>225102.34999999899</v>
      </c>
      <c r="AQ550">
        <v>-55211.64</v>
      </c>
      <c r="AR550">
        <v>36055.9399999999</v>
      </c>
      <c r="AS550">
        <v>-3284105.04</v>
      </c>
      <c r="AT550">
        <v>34.019399999999997</v>
      </c>
      <c r="AU550">
        <v>33.032837399999998</v>
      </c>
      <c r="AV550">
        <v>20255735.893679999</v>
      </c>
      <c r="AW550">
        <v>822395464.13999999</v>
      </c>
      <c r="AX550">
        <v>40.600621397151798</v>
      </c>
      <c r="AY550">
        <v>659709.02439999999</v>
      </c>
      <c r="AZ550">
        <v>1.0360227490962599</v>
      </c>
      <c r="BA550">
        <v>742285.36585365795</v>
      </c>
      <c r="BB550">
        <v>1.1657026005443101</v>
      </c>
      <c r="BC550">
        <v>24.519839189505699</v>
      </c>
    </row>
    <row r="551" spans="1:55" x14ac:dyDescent="0.2">
      <c r="A551" t="s">
        <v>1134</v>
      </c>
      <c r="B551" t="s">
        <v>1135</v>
      </c>
      <c r="C551">
        <v>2750</v>
      </c>
      <c r="D551">
        <v>400</v>
      </c>
      <c r="E551">
        <v>1500</v>
      </c>
      <c r="F551">
        <v>900</v>
      </c>
      <c r="G551">
        <v>700</v>
      </c>
      <c r="H551">
        <v>75</v>
      </c>
      <c r="I551">
        <v>6325</v>
      </c>
      <c r="J551">
        <v>104370.43</v>
      </c>
      <c r="K551">
        <v>1287273.74</v>
      </c>
      <c r="L551">
        <v>901091.62</v>
      </c>
      <c r="M551">
        <v>211577.08</v>
      </c>
      <c r="N551">
        <v>537151.75</v>
      </c>
      <c r="O551">
        <v>1390617</v>
      </c>
      <c r="P551">
        <v>104826000</v>
      </c>
      <c r="Q551">
        <v>272732.63</v>
      </c>
      <c r="R551">
        <v>53258.31</v>
      </c>
      <c r="S551">
        <v>259426.52</v>
      </c>
      <c r="T551">
        <v>1684743.34</v>
      </c>
      <c r="U551">
        <v>75</v>
      </c>
      <c r="V551">
        <v>123398.82</v>
      </c>
      <c r="W551">
        <v>77020.740000000005</v>
      </c>
      <c r="X551">
        <v>35335.68</v>
      </c>
      <c r="Y551">
        <v>342121.16</v>
      </c>
      <c r="Z551">
        <v>272732.63</v>
      </c>
      <c r="AA551">
        <v>53258.31</v>
      </c>
      <c r="AB551">
        <v>259426.52</v>
      </c>
      <c r="AC551">
        <v>1684743.34</v>
      </c>
      <c r="AD551">
        <v>1.2</v>
      </c>
      <c r="AE551">
        <v>2.16</v>
      </c>
      <c r="AF551">
        <v>0.78</v>
      </c>
      <c r="AG551">
        <v>2.92</v>
      </c>
      <c r="AH551">
        <v>650659.39</v>
      </c>
      <c r="AI551">
        <v>142989.22</v>
      </c>
      <c r="AJ551">
        <v>119222.62</v>
      </c>
      <c r="AK551">
        <v>14475028.49</v>
      </c>
      <c r="AL551">
        <v>396131.45</v>
      </c>
      <c r="AM551">
        <v>130279.05</v>
      </c>
      <c r="AN551">
        <v>294762.2</v>
      </c>
      <c r="AO551">
        <v>2026864.5</v>
      </c>
      <c r="AP551">
        <v>127033.41</v>
      </c>
      <c r="AQ551">
        <v>-8432.8799999999701</v>
      </c>
      <c r="AR551">
        <v>382593.45</v>
      </c>
      <c r="AS551">
        <v>-13426532.65</v>
      </c>
      <c r="AT551">
        <v>34.019399999999997</v>
      </c>
      <c r="AU551">
        <v>33.032837399999998</v>
      </c>
      <c r="AV551">
        <v>37979504.800649904</v>
      </c>
      <c r="AW551">
        <v>396809388.66000003</v>
      </c>
      <c r="AX551">
        <v>10.447987427503501</v>
      </c>
      <c r="AY551">
        <v>1348465.9556</v>
      </c>
      <c r="AZ551">
        <v>1.0475362882800601</v>
      </c>
      <c r="BA551">
        <v>1504734.75609756</v>
      </c>
      <c r="BB551">
        <v>1.1689314473994901</v>
      </c>
      <c r="BC551">
        <v>24.2069728751237</v>
      </c>
    </row>
    <row r="552" spans="1:55" x14ac:dyDescent="0.2">
      <c r="A552" t="s">
        <v>1136</v>
      </c>
      <c r="B552" t="s">
        <v>1137</v>
      </c>
      <c r="C552">
        <v>2910</v>
      </c>
      <c r="D552">
        <v>420</v>
      </c>
      <c r="E552">
        <v>1040</v>
      </c>
      <c r="F552">
        <v>1190</v>
      </c>
      <c r="G552">
        <v>0</v>
      </c>
      <c r="H552">
        <v>0</v>
      </c>
      <c r="I552">
        <v>5560</v>
      </c>
      <c r="J552">
        <v>104528.61</v>
      </c>
      <c r="K552">
        <v>1276651.77</v>
      </c>
      <c r="L552">
        <v>893656.24</v>
      </c>
      <c r="M552">
        <v>213380.19</v>
      </c>
      <c r="N552">
        <v>562652.89</v>
      </c>
      <c r="O552">
        <v>1470771</v>
      </c>
      <c r="P552">
        <v>165491669</v>
      </c>
      <c r="Q552">
        <v>329143.2</v>
      </c>
      <c r="R552">
        <v>33328.28</v>
      </c>
      <c r="S552">
        <v>753030.26</v>
      </c>
      <c r="T552">
        <v>3702458.53</v>
      </c>
      <c r="U552">
        <v>72</v>
      </c>
      <c r="V552">
        <v>0</v>
      </c>
      <c r="W552">
        <v>0</v>
      </c>
      <c r="X552">
        <v>0</v>
      </c>
      <c r="Y552">
        <v>0</v>
      </c>
      <c r="Z552">
        <v>329143.2</v>
      </c>
      <c r="AA552">
        <v>33328.28</v>
      </c>
      <c r="AB552">
        <v>753030.26</v>
      </c>
      <c r="AC552">
        <v>3702458.53</v>
      </c>
      <c r="AD552">
        <v>1.1100000000000001</v>
      </c>
      <c r="AE552">
        <v>0.53</v>
      </c>
      <c r="AF552">
        <v>2.63</v>
      </c>
      <c r="AG552">
        <v>2.2000000000000002</v>
      </c>
      <c r="AH552">
        <v>67283.100000000006</v>
      </c>
      <c r="AI552">
        <v>24259.93</v>
      </c>
      <c r="AJ552">
        <v>79270.69</v>
      </c>
      <c r="AK552">
        <v>2168565.2999999998</v>
      </c>
      <c r="AL552">
        <v>329143.2</v>
      </c>
      <c r="AM552">
        <v>33328.28</v>
      </c>
      <c r="AN552">
        <v>753030.26</v>
      </c>
      <c r="AO552">
        <v>3702458.53</v>
      </c>
      <c r="AP552">
        <v>826373.14</v>
      </c>
      <c r="AQ552">
        <v>189120.26</v>
      </c>
      <c r="AR552">
        <v>483382.19999999902</v>
      </c>
      <c r="AS552">
        <v>-697794.3</v>
      </c>
      <c r="AT552">
        <v>32.658624000000003</v>
      </c>
      <c r="AU552">
        <v>31.711523904</v>
      </c>
      <c r="AV552">
        <v>38543771.729116797</v>
      </c>
      <c r="AW552">
        <v>626453818.74928999</v>
      </c>
      <c r="AX552">
        <v>16.253049212515201</v>
      </c>
      <c r="AY552">
        <v>1350509.6412</v>
      </c>
      <c r="AZ552">
        <v>1.0578527934833699</v>
      </c>
      <c r="BA552">
        <v>1513236.58536585</v>
      </c>
      <c r="BB552">
        <v>1.1853166391379</v>
      </c>
      <c r="BC552">
        <v>25.212807447934999</v>
      </c>
    </row>
    <row r="553" spans="1:55" x14ac:dyDescent="0.2">
      <c r="A553" t="s">
        <v>1138</v>
      </c>
      <c r="B553" t="s">
        <v>1139</v>
      </c>
      <c r="C553">
        <v>0</v>
      </c>
      <c r="D553">
        <v>0</v>
      </c>
      <c r="E553">
        <v>0</v>
      </c>
      <c r="F553">
        <v>1200</v>
      </c>
      <c r="G553">
        <v>0</v>
      </c>
      <c r="H553">
        <v>0</v>
      </c>
      <c r="I553">
        <v>1200</v>
      </c>
      <c r="J553">
        <v>11985.72</v>
      </c>
      <c r="K553">
        <v>114192</v>
      </c>
      <c r="L553">
        <v>79934.399999999994</v>
      </c>
      <c r="M553">
        <v>19324.8</v>
      </c>
      <c r="N553">
        <v>1</v>
      </c>
      <c r="O553">
        <v>0</v>
      </c>
      <c r="P553">
        <v>10465500</v>
      </c>
      <c r="Q553">
        <v>17225.96</v>
      </c>
      <c r="R553">
        <v>4219.83</v>
      </c>
      <c r="S553">
        <v>43883.61</v>
      </c>
      <c r="T553">
        <v>173937.17</v>
      </c>
      <c r="U553">
        <v>1</v>
      </c>
      <c r="V553">
        <v>71085.17</v>
      </c>
      <c r="W553">
        <v>24215.63</v>
      </c>
      <c r="X553">
        <v>63710.98</v>
      </c>
      <c r="Y553">
        <v>1913943.05</v>
      </c>
      <c r="Z553">
        <v>17225.96</v>
      </c>
      <c r="AA553">
        <v>4219.83</v>
      </c>
      <c r="AB553">
        <v>43883.61</v>
      </c>
      <c r="AC553">
        <v>173937.17</v>
      </c>
      <c r="AD553">
        <v>0.9</v>
      </c>
      <c r="AE553">
        <v>1.18</v>
      </c>
      <c r="AF553">
        <v>0.95</v>
      </c>
      <c r="AG553">
        <v>2.76</v>
      </c>
      <c r="AH553">
        <v>0</v>
      </c>
      <c r="AI553">
        <v>0</v>
      </c>
      <c r="AJ553">
        <v>0</v>
      </c>
      <c r="AK553">
        <v>0</v>
      </c>
      <c r="AL553">
        <v>88311.13</v>
      </c>
      <c r="AM553">
        <v>28435.46</v>
      </c>
      <c r="AN553">
        <v>107594.59</v>
      </c>
      <c r="AO553">
        <v>2087880.22</v>
      </c>
      <c r="AP553">
        <v>8849.2299999999796</v>
      </c>
      <c r="AQ553">
        <v>-4890.83</v>
      </c>
      <c r="AR553">
        <v>-63709.979999999901</v>
      </c>
      <c r="AS553">
        <v>-1913943.05</v>
      </c>
      <c r="AT553">
        <v>0.453592</v>
      </c>
      <c r="AU553">
        <v>0.44043783199999997</v>
      </c>
      <c r="AV553">
        <v>0</v>
      </c>
      <c r="AW553">
        <v>39616208.354999997</v>
      </c>
      <c r="AY553">
        <v>154855.5024</v>
      </c>
      <c r="AZ553">
        <v>1.35609764606977</v>
      </c>
      <c r="BA553">
        <v>160243.90243902401</v>
      </c>
      <c r="BB553">
        <v>1.40328483991019</v>
      </c>
      <c r="BC553">
        <v>27.300806666666599</v>
      </c>
    </row>
    <row r="554" spans="1:55" x14ac:dyDescent="0.2">
      <c r="A554" t="s">
        <v>1140</v>
      </c>
      <c r="B554" t="s">
        <v>1141</v>
      </c>
      <c r="C554">
        <v>919</v>
      </c>
      <c r="D554">
        <v>122</v>
      </c>
      <c r="E554">
        <v>335</v>
      </c>
      <c r="F554">
        <v>337</v>
      </c>
      <c r="G554">
        <v>129</v>
      </c>
      <c r="H554">
        <v>137</v>
      </c>
      <c r="I554">
        <v>1979</v>
      </c>
      <c r="J554">
        <v>33159.81</v>
      </c>
      <c r="K554">
        <v>408962.09</v>
      </c>
      <c r="L554">
        <v>286273.46000000002</v>
      </c>
      <c r="M554">
        <v>67054.53</v>
      </c>
      <c r="N554">
        <v>176479.16</v>
      </c>
      <c r="O554">
        <v>462027.42</v>
      </c>
      <c r="P554">
        <v>20484000</v>
      </c>
      <c r="Q554">
        <v>60282.19</v>
      </c>
      <c r="R554">
        <v>3390.45</v>
      </c>
      <c r="S554">
        <v>74872.17</v>
      </c>
      <c r="T554">
        <v>390459.93</v>
      </c>
      <c r="U554">
        <v>70</v>
      </c>
      <c r="V554">
        <v>114199.56</v>
      </c>
      <c r="W554">
        <v>40177.56</v>
      </c>
      <c r="X554">
        <v>106184.78</v>
      </c>
      <c r="Y554">
        <v>191815</v>
      </c>
      <c r="Z554">
        <v>60282.19</v>
      </c>
      <c r="AA554">
        <v>3390.45</v>
      </c>
      <c r="AB554">
        <v>74872.17</v>
      </c>
      <c r="AC554">
        <v>390459.93</v>
      </c>
      <c r="AD554">
        <v>0.98</v>
      </c>
      <c r="AE554">
        <v>0.93</v>
      </c>
      <c r="AF554">
        <v>0.5</v>
      </c>
      <c r="AG554">
        <v>1.9</v>
      </c>
      <c r="AH554">
        <v>51897.599999999999</v>
      </c>
      <c r="AI554">
        <v>13742.4</v>
      </c>
      <c r="AJ554">
        <v>70939.199999999997</v>
      </c>
      <c r="AK554">
        <v>0</v>
      </c>
      <c r="AL554">
        <v>174481.75</v>
      </c>
      <c r="AM554">
        <v>43568.0099999999</v>
      </c>
      <c r="AN554">
        <v>181056.95</v>
      </c>
      <c r="AO554">
        <v>582274.929999999</v>
      </c>
      <c r="AP554">
        <v>120176.3</v>
      </c>
      <c r="AQ554">
        <v>13134.57</v>
      </c>
      <c r="AR554">
        <v>-644.81999999999198</v>
      </c>
      <c r="AS554">
        <v>270212.42</v>
      </c>
      <c r="AT554">
        <v>31.751439999999999</v>
      </c>
      <c r="AU554">
        <v>30.830648239999999</v>
      </c>
      <c r="AV554">
        <v>11714567.258511599</v>
      </c>
      <c r="AW554">
        <v>77540338.439999998</v>
      </c>
      <c r="AX554">
        <v>6.6191380977953296</v>
      </c>
      <c r="AY554">
        <v>428424.74519999902</v>
      </c>
      <c r="AZ554">
        <v>1.0475903651607399</v>
      </c>
      <c r="BA554">
        <v>481541.829268292</v>
      </c>
      <c r="BB554">
        <v>1.1774730251116701</v>
      </c>
      <c r="BC554">
        <v>23.956444996563899</v>
      </c>
    </row>
    <row r="555" spans="1:55" x14ac:dyDescent="0.2">
      <c r="A555" t="s">
        <v>1142</v>
      </c>
      <c r="B555" t="s">
        <v>1143</v>
      </c>
      <c r="C555">
        <v>1010</v>
      </c>
      <c r="D555">
        <v>100</v>
      </c>
      <c r="E555">
        <v>175</v>
      </c>
      <c r="F555">
        <v>0</v>
      </c>
      <c r="G555">
        <v>0</v>
      </c>
      <c r="H555">
        <v>0</v>
      </c>
      <c r="I555">
        <v>1285</v>
      </c>
      <c r="J555">
        <v>28202.17</v>
      </c>
      <c r="K555">
        <v>360628.47999999998</v>
      </c>
      <c r="L555">
        <v>252439.94</v>
      </c>
      <c r="M555">
        <v>60164.800000000003</v>
      </c>
      <c r="N555">
        <v>187965.76</v>
      </c>
      <c r="O555">
        <v>499919.4</v>
      </c>
      <c r="P555">
        <v>13768843</v>
      </c>
      <c r="Q555">
        <v>32231.38</v>
      </c>
      <c r="R555">
        <v>9590.59</v>
      </c>
      <c r="S555">
        <v>31996.02</v>
      </c>
      <c r="T555">
        <v>184962.24</v>
      </c>
      <c r="U555">
        <v>61</v>
      </c>
      <c r="V555">
        <v>18925</v>
      </c>
      <c r="W555">
        <v>4996.2</v>
      </c>
      <c r="X555">
        <v>29825.8</v>
      </c>
      <c r="Y555">
        <v>0</v>
      </c>
      <c r="Z555">
        <v>32231.38</v>
      </c>
      <c r="AA555">
        <v>9590.59</v>
      </c>
      <c r="AB555">
        <v>31996.02</v>
      </c>
      <c r="AC555">
        <v>184962.24</v>
      </c>
      <c r="AD555">
        <v>1.17</v>
      </c>
      <c r="AE555">
        <v>0.56000000000000005</v>
      </c>
      <c r="AF555">
        <v>0.68</v>
      </c>
      <c r="AG555">
        <v>1.03</v>
      </c>
      <c r="AH555">
        <v>0</v>
      </c>
      <c r="AI555">
        <v>0</v>
      </c>
      <c r="AJ555">
        <v>0</v>
      </c>
      <c r="AK555">
        <v>0</v>
      </c>
      <c r="AL555">
        <v>51156.38</v>
      </c>
      <c r="AM555">
        <v>14586.79</v>
      </c>
      <c r="AN555">
        <v>61821.82</v>
      </c>
      <c r="AO555">
        <v>184962.24</v>
      </c>
      <c r="AP555">
        <v>233514.94</v>
      </c>
      <c r="AQ555">
        <v>55168.6</v>
      </c>
      <c r="AR555">
        <v>158139.96</v>
      </c>
      <c r="AS555">
        <v>499919.4</v>
      </c>
      <c r="AT555">
        <v>27.669111999999998</v>
      </c>
      <c r="AU555">
        <v>26.8667077519999</v>
      </c>
      <c r="AV555">
        <v>10885046.6457227</v>
      </c>
      <c r="AW555">
        <v>52120715.980630003</v>
      </c>
      <c r="AX555">
        <v>4.7882859556794299</v>
      </c>
      <c r="AY555">
        <v>364372.03639999998</v>
      </c>
      <c r="AZ555">
        <v>1.0103806454775801</v>
      </c>
      <c r="BA555">
        <v>428518.90243902401</v>
      </c>
      <c r="BB555">
        <v>1.1882558538888099</v>
      </c>
      <c r="BC555">
        <v>24.0217922509608</v>
      </c>
    </row>
    <row r="556" spans="1:55" x14ac:dyDescent="0.2">
      <c r="A556" t="s">
        <v>1144</v>
      </c>
      <c r="B556" t="s">
        <v>1145</v>
      </c>
      <c r="C556">
        <v>625</v>
      </c>
      <c r="D556">
        <v>120</v>
      </c>
      <c r="E556">
        <v>190</v>
      </c>
      <c r="F556">
        <v>170</v>
      </c>
      <c r="G556">
        <v>35</v>
      </c>
      <c r="H556">
        <v>0</v>
      </c>
      <c r="I556">
        <v>1140</v>
      </c>
      <c r="J556">
        <v>21742.73</v>
      </c>
      <c r="K556">
        <v>272044.5</v>
      </c>
      <c r="L556">
        <v>190431.15</v>
      </c>
      <c r="M556">
        <v>45113.64</v>
      </c>
      <c r="N556">
        <v>121668.19</v>
      </c>
      <c r="O556">
        <v>322757.09999999998</v>
      </c>
      <c r="P556">
        <v>56412000</v>
      </c>
      <c r="Q556">
        <v>95445.81</v>
      </c>
      <c r="R556">
        <v>25926.22</v>
      </c>
      <c r="S556">
        <v>148158.43</v>
      </c>
      <c r="T556">
        <v>982748.93</v>
      </c>
      <c r="U556">
        <v>74</v>
      </c>
      <c r="V556">
        <v>16397.759999999998</v>
      </c>
      <c r="W556">
        <v>5465.92</v>
      </c>
      <c r="X556">
        <v>21070.240000000002</v>
      </c>
      <c r="Y556">
        <v>0</v>
      </c>
      <c r="Z556">
        <v>171277.82</v>
      </c>
      <c r="AA556">
        <v>29889.96</v>
      </c>
      <c r="AB556">
        <v>218896.53</v>
      </c>
      <c r="AC556">
        <v>1417246.37</v>
      </c>
      <c r="AD556">
        <v>0.8</v>
      </c>
      <c r="AE556">
        <v>0.87</v>
      </c>
      <c r="AF556">
        <v>0.78</v>
      </c>
      <c r="AG556">
        <v>1.97</v>
      </c>
      <c r="AH556">
        <v>38817.69</v>
      </c>
      <c r="AI556">
        <v>13831.59</v>
      </c>
      <c r="AJ556">
        <v>49972.2</v>
      </c>
      <c r="AK556">
        <v>0</v>
      </c>
      <c r="AL556">
        <v>187675.58</v>
      </c>
      <c r="AM556">
        <v>35355.879999999997</v>
      </c>
      <c r="AN556">
        <v>239966.77</v>
      </c>
      <c r="AO556">
        <v>1417246.37</v>
      </c>
      <c r="AP556">
        <v>59383.6899999999</v>
      </c>
      <c r="AQ556">
        <v>21852.39</v>
      </c>
      <c r="AR556">
        <v>-20112.3499999999</v>
      </c>
      <c r="AS556">
        <v>-111740.34</v>
      </c>
      <c r="AT556">
        <v>33.565807999999997</v>
      </c>
      <c r="AU556">
        <v>32.592399567999998</v>
      </c>
      <c r="AV556">
        <v>8862688.2525283992</v>
      </c>
      <c r="AW556">
        <v>213542548.91999999</v>
      </c>
      <c r="AX556">
        <v>24.0945571857477</v>
      </c>
      <c r="AY556">
        <v>280916.07159999898</v>
      </c>
      <c r="AZ556">
        <v>1.03261073684636</v>
      </c>
      <c r="BA556">
        <v>321556.097560975</v>
      </c>
      <c r="BB556">
        <v>1.1819981567757301</v>
      </c>
      <c r="BC556">
        <v>24.443431039210299</v>
      </c>
    </row>
    <row r="557" spans="1:55" x14ac:dyDescent="0.2">
      <c r="A557" t="s">
        <v>1146</v>
      </c>
      <c r="B557" t="s">
        <v>1147</v>
      </c>
      <c r="C557">
        <v>1575</v>
      </c>
      <c r="D557">
        <v>275</v>
      </c>
      <c r="E557">
        <v>400</v>
      </c>
      <c r="F557">
        <v>150</v>
      </c>
      <c r="G557">
        <v>0</v>
      </c>
      <c r="H557">
        <v>0</v>
      </c>
      <c r="I557">
        <v>2400</v>
      </c>
      <c r="J557">
        <v>49223.63</v>
      </c>
      <c r="K557">
        <v>620216.87</v>
      </c>
      <c r="L557">
        <v>434151.81</v>
      </c>
      <c r="M557">
        <v>102942.21</v>
      </c>
      <c r="N557">
        <v>297265.36</v>
      </c>
      <c r="O557">
        <v>807030</v>
      </c>
      <c r="P557">
        <v>35569895</v>
      </c>
      <c r="Q557">
        <v>62045.98</v>
      </c>
      <c r="R557">
        <v>14494.57</v>
      </c>
      <c r="S557">
        <v>64163.99</v>
      </c>
      <c r="T557">
        <v>521091.37</v>
      </c>
      <c r="U557">
        <v>65</v>
      </c>
      <c r="V557">
        <v>243253.8</v>
      </c>
      <c r="W557">
        <v>78564.600000000006</v>
      </c>
      <c r="X557">
        <v>314469.8</v>
      </c>
      <c r="Y557">
        <v>0</v>
      </c>
      <c r="Z557">
        <v>62045.98</v>
      </c>
      <c r="AA557">
        <v>14494.57</v>
      </c>
      <c r="AB557">
        <v>64163.99</v>
      </c>
      <c r="AC557">
        <v>521091.37</v>
      </c>
      <c r="AD557">
        <v>1.1599999999999999</v>
      </c>
      <c r="AE557">
        <v>1.51</v>
      </c>
      <c r="AF557">
        <v>1.02</v>
      </c>
      <c r="AG557">
        <v>1.1299999999999999</v>
      </c>
      <c r="AH557">
        <v>0</v>
      </c>
      <c r="AI557">
        <v>0</v>
      </c>
      <c r="AJ557">
        <v>0</v>
      </c>
      <c r="AK557">
        <v>0</v>
      </c>
      <c r="AL557">
        <v>305299.77999999898</v>
      </c>
      <c r="AM557">
        <v>93059.17</v>
      </c>
      <c r="AN557">
        <v>378633.79</v>
      </c>
      <c r="AO557">
        <v>521091.37</v>
      </c>
      <c r="AP557">
        <v>190898.01</v>
      </c>
      <c r="AQ557">
        <v>24377.609999999899</v>
      </c>
      <c r="AR557">
        <v>-17204.439999999999</v>
      </c>
      <c r="AS557">
        <v>807030</v>
      </c>
      <c r="AT557">
        <v>29.48348</v>
      </c>
      <c r="AU557">
        <v>28.628459079999999</v>
      </c>
      <c r="AV557">
        <v>19331366.99377</v>
      </c>
      <c r="AW557">
        <v>134646636.23195001</v>
      </c>
      <c r="AX557">
        <v>6.9651895944732196</v>
      </c>
      <c r="AY557">
        <v>635969.29959999898</v>
      </c>
      <c r="AZ557">
        <v>1.0253982604504099</v>
      </c>
      <c r="BA557">
        <v>748695.12195121904</v>
      </c>
      <c r="BB557">
        <v>1.20715052776816</v>
      </c>
      <c r="BC557">
        <v>23.997251248513599</v>
      </c>
    </row>
    <row r="558" spans="1:55" x14ac:dyDescent="0.2">
      <c r="A558" t="s">
        <v>1148</v>
      </c>
      <c r="B558" t="s">
        <v>1149</v>
      </c>
      <c r="C558">
        <v>2550</v>
      </c>
      <c r="D558">
        <v>350</v>
      </c>
      <c r="E558">
        <v>700</v>
      </c>
      <c r="F558">
        <v>700</v>
      </c>
      <c r="G558">
        <v>300</v>
      </c>
      <c r="H558">
        <v>0</v>
      </c>
      <c r="I558">
        <v>4600</v>
      </c>
      <c r="J558">
        <v>87510.48</v>
      </c>
      <c r="K558">
        <v>1089826.29</v>
      </c>
      <c r="L558">
        <v>762878.4</v>
      </c>
      <c r="M558">
        <v>180874.57</v>
      </c>
      <c r="N558">
        <v>498086.17</v>
      </c>
      <c r="O558">
        <v>1284660</v>
      </c>
      <c r="P558">
        <v>42303377</v>
      </c>
      <c r="Q558">
        <v>172455.79</v>
      </c>
      <c r="R558">
        <v>8290.93</v>
      </c>
      <c r="S558">
        <v>115303.03999999999</v>
      </c>
      <c r="T558">
        <v>1036891.32</v>
      </c>
      <c r="U558">
        <v>75</v>
      </c>
      <c r="V558">
        <v>215233.2</v>
      </c>
      <c r="W558">
        <v>56420.6</v>
      </c>
      <c r="X558">
        <v>251677.8</v>
      </c>
      <c r="Y558">
        <v>0</v>
      </c>
      <c r="Z558">
        <v>105684.69</v>
      </c>
      <c r="AA558">
        <v>7401.5</v>
      </c>
      <c r="AB558">
        <v>107320.04</v>
      </c>
      <c r="AC558">
        <v>661967.16</v>
      </c>
      <c r="AD558">
        <v>1.2</v>
      </c>
      <c r="AE558">
        <v>0.97</v>
      </c>
      <c r="AF558">
        <v>0.79</v>
      </c>
      <c r="AG558">
        <v>1.39</v>
      </c>
      <c r="AH558">
        <v>127251.11</v>
      </c>
      <c r="AI558">
        <v>8953.44</v>
      </c>
      <c r="AJ558">
        <v>38223</v>
      </c>
      <c r="AK558">
        <v>374924.16</v>
      </c>
      <c r="AL558">
        <v>320917.89</v>
      </c>
      <c r="AM558">
        <v>63822.1</v>
      </c>
      <c r="AN558">
        <v>358997.83999999898</v>
      </c>
      <c r="AO558">
        <v>661967.16</v>
      </c>
      <c r="AP558">
        <v>487165.19</v>
      </c>
      <c r="AQ558">
        <v>116389.959999999</v>
      </c>
      <c r="AR558">
        <v>216168.37</v>
      </c>
      <c r="AS558">
        <v>1284659.99999999</v>
      </c>
      <c r="AT558">
        <v>34.019399999999997</v>
      </c>
      <c r="AU558">
        <v>33.032837399999998</v>
      </c>
      <c r="AV558">
        <v>34965258.387900002</v>
      </c>
      <c r="AW558">
        <v>160135626.32957</v>
      </c>
      <c r="AX558">
        <v>4.5798496482721802</v>
      </c>
      <c r="AY558">
        <v>1130635.4016</v>
      </c>
      <c r="AZ558">
        <v>1.03744551950568</v>
      </c>
      <c r="BA558">
        <v>1258804.8780487799</v>
      </c>
      <c r="BB558">
        <v>1.1550509375661799</v>
      </c>
      <c r="BC558">
        <v>24.847158448753401</v>
      </c>
    </row>
    <row r="559" spans="1:55" x14ac:dyDescent="0.2">
      <c r="A559" t="s">
        <v>1150</v>
      </c>
      <c r="B559" t="s">
        <v>1151</v>
      </c>
      <c r="C559">
        <v>400</v>
      </c>
      <c r="D559">
        <v>0</v>
      </c>
      <c r="E559">
        <v>200</v>
      </c>
      <c r="F559">
        <v>150</v>
      </c>
      <c r="G559">
        <v>0</v>
      </c>
      <c r="H559">
        <v>0</v>
      </c>
      <c r="I559">
        <v>750</v>
      </c>
      <c r="J559">
        <v>14612.4</v>
      </c>
      <c r="K559">
        <v>183827.69</v>
      </c>
      <c r="L559">
        <v>128679.38</v>
      </c>
      <c r="M559">
        <v>31352.1</v>
      </c>
      <c r="N559">
        <v>83665.08</v>
      </c>
      <c r="O559">
        <v>188856</v>
      </c>
      <c r="P559">
        <v>12729000</v>
      </c>
      <c r="Q559">
        <v>26112.51</v>
      </c>
      <c r="R559">
        <v>6995.87</v>
      </c>
      <c r="S559">
        <v>56778.92</v>
      </c>
      <c r="T559">
        <v>200748.74</v>
      </c>
      <c r="U559">
        <v>96</v>
      </c>
      <c r="V559">
        <v>0</v>
      </c>
      <c r="W559">
        <v>0</v>
      </c>
      <c r="X559">
        <v>0</v>
      </c>
      <c r="Y559">
        <v>0</v>
      </c>
      <c r="Z559">
        <v>26112.51</v>
      </c>
      <c r="AA559">
        <v>6995.87</v>
      </c>
      <c r="AB559">
        <v>56778.92</v>
      </c>
      <c r="AC559">
        <v>200748.74</v>
      </c>
      <c r="AD559">
        <v>1.24</v>
      </c>
      <c r="AE559">
        <v>0.72</v>
      </c>
      <c r="AF559">
        <v>1.28</v>
      </c>
      <c r="AG559">
        <v>2.81</v>
      </c>
      <c r="AH559">
        <v>81974.95</v>
      </c>
      <c r="AI559">
        <v>61079.38</v>
      </c>
      <c r="AJ559">
        <v>22985.13</v>
      </c>
      <c r="AK559">
        <v>0</v>
      </c>
      <c r="AL559">
        <v>26112.51</v>
      </c>
      <c r="AM559">
        <v>6995.87</v>
      </c>
      <c r="AN559">
        <v>56778.92</v>
      </c>
      <c r="AO559">
        <v>200748.74</v>
      </c>
      <c r="AP559">
        <v>46704.43</v>
      </c>
      <c r="AQ559">
        <v>-29727.279999999901</v>
      </c>
      <c r="AR559">
        <v>60679.95</v>
      </c>
      <c r="AS559">
        <v>188856</v>
      </c>
      <c r="AT559">
        <v>43.544832</v>
      </c>
      <c r="AU559">
        <v>42.282031871999997</v>
      </c>
      <c r="AV559">
        <v>6173176.6533119902</v>
      </c>
      <c r="AW559">
        <v>48184483.890000001</v>
      </c>
      <c r="AX559">
        <v>7.8054600728375902</v>
      </c>
      <c r="AY559">
        <v>188792.20799999899</v>
      </c>
      <c r="AZ559">
        <v>1.0270063666686899</v>
      </c>
      <c r="BA559">
        <v>192737.80487804799</v>
      </c>
      <c r="BB559">
        <v>1.0484699278876199</v>
      </c>
      <c r="BC559">
        <v>27.672443418013799</v>
      </c>
    </row>
    <row r="560" spans="1:55" x14ac:dyDescent="0.2">
      <c r="A560" t="s">
        <v>1152</v>
      </c>
      <c r="B560" t="s">
        <v>1153</v>
      </c>
      <c r="C560">
        <v>475</v>
      </c>
      <c r="D560">
        <v>0</v>
      </c>
      <c r="E560">
        <v>85</v>
      </c>
      <c r="F560">
        <v>0</v>
      </c>
      <c r="G560">
        <v>0</v>
      </c>
      <c r="H560">
        <v>0</v>
      </c>
      <c r="I560">
        <v>560</v>
      </c>
      <c r="J560">
        <v>12469.43</v>
      </c>
      <c r="K560">
        <v>160521.95000000001</v>
      </c>
      <c r="L560">
        <v>112365.37</v>
      </c>
      <c r="M560">
        <v>27068.34</v>
      </c>
      <c r="N560">
        <v>88086.81</v>
      </c>
      <c r="O560">
        <v>224266.5</v>
      </c>
      <c r="P560">
        <v>10808000</v>
      </c>
      <c r="Q560">
        <v>31908.36</v>
      </c>
      <c r="R560">
        <v>8665.6200000000008</v>
      </c>
      <c r="S560">
        <v>40269.47</v>
      </c>
      <c r="T560">
        <v>213660.46</v>
      </c>
      <c r="U560">
        <v>60</v>
      </c>
      <c r="V560">
        <v>0</v>
      </c>
      <c r="W560">
        <v>0</v>
      </c>
      <c r="X560">
        <v>0</v>
      </c>
      <c r="Y560">
        <v>0</v>
      </c>
      <c r="Z560">
        <v>31908.36</v>
      </c>
      <c r="AA560">
        <v>8665.6200000000008</v>
      </c>
      <c r="AB560">
        <v>40269.47</v>
      </c>
      <c r="AC560">
        <v>213660.46</v>
      </c>
      <c r="AD560">
        <v>1.29</v>
      </c>
      <c r="AE560">
        <v>1.07</v>
      </c>
      <c r="AF560">
        <v>1.0900000000000001</v>
      </c>
      <c r="AG560">
        <v>8.61</v>
      </c>
      <c r="AH560">
        <v>136420</v>
      </c>
      <c r="AI560">
        <v>89355.1</v>
      </c>
      <c r="AJ560">
        <v>120049.60000000001</v>
      </c>
      <c r="AK560">
        <v>2586113.94</v>
      </c>
      <c r="AL560">
        <v>31908.36</v>
      </c>
      <c r="AM560">
        <v>8665.6200000000008</v>
      </c>
      <c r="AN560">
        <v>40269.47</v>
      </c>
      <c r="AO560">
        <v>213660.46</v>
      </c>
      <c r="AP560">
        <v>-24054.63</v>
      </c>
      <c r="AQ560">
        <v>-62286.76</v>
      </c>
      <c r="AR560">
        <v>-31962.79</v>
      </c>
      <c r="AS560">
        <v>-2361847.44</v>
      </c>
      <c r="AT560">
        <v>27.215519999999898</v>
      </c>
      <c r="AU560">
        <v>26.4262699199999</v>
      </c>
      <c r="AV560">
        <v>4581654.5473799901</v>
      </c>
      <c r="AW560">
        <v>40912711.280000001</v>
      </c>
      <c r="AX560">
        <v>8.9296805022970904</v>
      </c>
      <c r="AY560">
        <v>161105.0356</v>
      </c>
      <c r="AZ560">
        <v>1.00363243531492</v>
      </c>
      <c r="BA560">
        <v>184725.60975609699</v>
      </c>
      <c r="BB560">
        <v>1.1507809975900301</v>
      </c>
      <c r="BC560">
        <v>24.638391807228899</v>
      </c>
    </row>
    <row r="561" spans="1:55" x14ac:dyDescent="0.2">
      <c r="A561" t="s">
        <v>1154</v>
      </c>
      <c r="B561" t="s">
        <v>1155</v>
      </c>
      <c r="C561">
        <v>800</v>
      </c>
      <c r="D561">
        <v>95</v>
      </c>
      <c r="E561">
        <v>400</v>
      </c>
      <c r="F561">
        <v>0</v>
      </c>
      <c r="G561">
        <v>0</v>
      </c>
      <c r="H561">
        <v>0</v>
      </c>
      <c r="I561">
        <v>1295</v>
      </c>
      <c r="J561">
        <v>25635.06</v>
      </c>
      <c r="K561">
        <v>324488.15999999997</v>
      </c>
      <c r="L561">
        <v>227141.71</v>
      </c>
      <c r="M561">
        <v>54283.13</v>
      </c>
      <c r="N561">
        <v>153627.13</v>
      </c>
      <c r="O561">
        <v>399617.1</v>
      </c>
      <c r="P561">
        <v>14291825</v>
      </c>
      <c r="Q561">
        <v>47629.35</v>
      </c>
      <c r="R561">
        <v>6975.35</v>
      </c>
      <c r="S561">
        <v>49055.96</v>
      </c>
      <c r="T561">
        <v>375019.96</v>
      </c>
      <c r="U561">
        <v>70</v>
      </c>
      <c r="V561">
        <v>0</v>
      </c>
      <c r="W561">
        <v>0</v>
      </c>
      <c r="X561">
        <v>0</v>
      </c>
      <c r="Y561">
        <v>0</v>
      </c>
      <c r="Z561">
        <v>47629.35</v>
      </c>
      <c r="AA561">
        <v>6975.35</v>
      </c>
      <c r="AB561">
        <v>49055.96</v>
      </c>
      <c r="AC561">
        <v>375019.96</v>
      </c>
      <c r="AD561">
        <v>1.18</v>
      </c>
      <c r="AE561">
        <v>0.57999999999999996</v>
      </c>
      <c r="AF561">
        <v>0.79</v>
      </c>
      <c r="AG561">
        <v>6.01</v>
      </c>
      <c r="AH561">
        <v>0</v>
      </c>
      <c r="AI561">
        <v>0</v>
      </c>
      <c r="AJ561">
        <v>0</v>
      </c>
      <c r="AK561">
        <v>0</v>
      </c>
      <c r="AL561">
        <v>47629.35</v>
      </c>
      <c r="AM561">
        <v>6975.35</v>
      </c>
      <c r="AN561">
        <v>49055.96</v>
      </c>
      <c r="AO561">
        <v>375019.96</v>
      </c>
      <c r="AP561">
        <v>227141.71</v>
      </c>
      <c r="AQ561">
        <v>54283.13</v>
      </c>
      <c r="AR561">
        <v>153627.13</v>
      </c>
      <c r="AS561">
        <v>399617.1</v>
      </c>
      <c r="AT561">
        <v>31.751439999999999</v>
      </c>
      <c r="AU561">
        <v>30.830648239999999</v>
      </c>
      <c r="AV561">
        <v>10071602.013801999</v>
      </c>
      <c r="AW561">
        <v>54100417.273249999</v>
      </c>
      <c r="AX561">
        <v>5.3715801318510596</v>
      </c>
      <c r="AY561">
        <v>331204.97519999999</v>
      </c>
      <c r="AZ561">
        <v>1.02069972352766</v>
      </c>
      <c r="BA561">
        <v>380089.63414634101</v>
      </c>
      <c r="BB561">
        <v>1.1713513187856801</v>
      </c>
      <c r="BC561">
        <v>24.617343014404401</v>
      </c>
    </row>
    <row r="562" spans="1:55" x14ac:dyDescent="0.2">
      <c r="A562" t="s">
        <v>1156</v>
      </c>
      <c r="B562" t="s">
        <v>1157</v>
      </c>
      <c r="C562">
        <v>3730</v>
      </c>
      <c r="D562">
        <v>500</v>
      </c>
      <c r="E562">
        <v>1940</v>
      </c>
      <c r="F562">
        <v>850</v>
      </c>
      <c r="G562">
        <v>645</v>
      </c>
      <c r="H562">
        <v>2900</v>
      </c>
      <c r="I562">
        <v>10565</v>
      </c>
      <c r="J562">
        <v>145327.32999999999</v>
      </c>
      <c r="K562">
        <v>1821733.36</v>
      </c>
      <c r="L562">
        <v>1275213.3500000001</v>
      </c>
      <c r="M562">
        <v>287491.08</v>
      </c>
      <c r="N562">
        <v>728573.1</v>
      </c>
      <c r="O562">
        <v>1876372.2</v>
      </c>
      <c r="P562">
        <v>63982000</v>
      </c>
      <c r="Q562">
        <v>287212.76</v>
      </c>
      <c r="R562">
        <v>42998.87</v>
      </c>
      <c r="S562">
        <v>263669.02</v>
      </c>
      <c r="T562">
        <v>1588191.19</v>
      </c>
      <c r="U562">
        <v>75</v>
      </c>
      <c r="V562">
        <v>151299.73000000001</v>
      </c>
      <c r="W562">
        <v>35701.9</v>
      </c>
      <c r="X562">
        <v>161538.10999999999</v>
      </c>
      <c r="Y562">
        <v>3710732.26</v>
      </c>
      <c r="Z562">
        <v>287212.76</v>
      </c>
      <c r="AA562">
        <v>42998.87</v>
      </c>
      <c r="AB562">
        <v>263669.02</v>
      </c>
      <c r="AC562">
        <v>1588191.19</v>
      </c>
      <c r="AD562">
        <v>1.22</v>
      </c>
      <c r="AE562">
        <v>1.1100000000000001</v>
      </c>
      <c r="AF562">
        <v>0.79</v>
      </c>
      <c r="AG562">
        <v>3.54</v>
      </c>
      <c r="AH562">
        <v>435702.41</v>
      </c>
      <c r="AI562">
        <v>121947.03</v>
      </c>
      <c r="AJ562">
        <v>485998.24</v>
      </c>
      <c r="AK562">
        <v>8331523.2000000002</v>
      </c>
      <c r="AL562">
        <v>438512.49</v>
      </c>
      <c r="AM562">
        <v>78700.77</v>
      </c>
      <c r="AN562">
        <v>425207.13</v>
      </c>
      <c r="AO562">
        <v>5298923.4499999899</v>
      </c>
      <c r="AP562">
        <v>688211.21</v>
      </c>
      <c r="AQ562">
        <v>129842.15</v>
      </c>
      <c r="AR562">
        <v>81036.75</v>
      </c>
      <c r="AS562">
        <v>-10165883.26</v>
      </c>
      <c r="AT562">
        <v>34.019399999999997</v>
      </c>
      <c r="AU562">
        <v>33.032837399999998</v>
      </c>
      <c r="AV562">
        <v>51001049.303729899</v>
      </c>
      <c r="AW562">
        <v>242198102.62</v>
      </c>
      <c r="AX562">
        <v>4.7488846979916204</v>
      </c>
      <c r="AY562">
        <v>1877629.10359999</v>
      </c>
      <c r="AZ562">
        <v>1.0306827249406001</v>
      </c>
      <c r="BA562">
        <v>2074312.80487804</v>
      </c>
      <c r="BB562">
        <v>1.13864786714892</v>
      </c>
      <c r="BC562">
        <v>22.195230224804899</v>
      </c>
    </row>
    <row r="563" spans="1:55" x14ac:dyDescent="0.2">
      <c r="A563" t="s">
        <v>1158</v>
      </c>
      <c r="B563" t="s">
        <v>1159</v>
      </c>
      <c r="C563">
        <v>8565</v>
      </c>
      <c r="D563">
        <v>998</v>
      </c>
      <c r="E563">
        <v>2684</v>
      </c>
      <c r="F563">
        <v>1882</v>
      </c>
      <c r="G563">
        <v>850</v>
      </c>
      <c r="H563">
        <v>0</v>
      </c>
      <c r="I563">
        <v>14979</v>
      </c>
      <c r="J563">
        <v>271094.27</v>
      </c>
      <c r="K563">
        <v>3435659.8</v>
      </c>
      <c r="L563">
        <v>2404961.86</v>
      </c>
      <c r="M563">
        <v>568967.38</v>
      </c>
      <c r="N563">
        <v>1599629.46</v>
      </c>
      <c r="O563">
        <v>4273997.9400000004</v>
      </c>
      <c r="P563">
        <v>125983090</v>
      </c>
      <c r="Q563">
        <v>518697.63</v>
      </c>
      <c r="R563">
        <v>61615.25</v>
      </c>
      <c r="S563">
        <v>584869.74</v>
      </c>
      <c r="T563">
        <v>3823112.23</v>
      </c>
      <c r="U563">
        <v>62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1178785.29</v>
      </c>
      <c r="AI563">
        <v>223155.69</v>
      </c>
      <c r="AJ563">
        <v>966439.4</v>
      </c>
      <c r="AK563">
        <v>3823112.23</v>
      </c>
      <c r="AL563">
        <v>0</v>
      </c>
      <c r="AM563">
        <v>0</v>
      </c>
      <c r="AN563">
        <v>0</v>
      </c>
      <c r="AO563">
        <v>0</v>
      </c>
      <c r="AP563">
        <v>1744874.1999999899</v>
      </c>
      <c r="AQ563">
        <v>407426.94</v>
      </c>
      <c r="AR563">
        <v>1218059.8</v>
      </c>
      <c r="AS563">
        <v>4273997.9399999902</v>
      </c>
      <c r="AT563">
        <v>28.122703999999999</v>
      </c>
      <c r="AU563">
        <v>27.307145583999901</v>
      </c>
      <c r="AV563">
        <v>95315455.125223994</v>
      </c>
      <c r="AW563">
        <v>476897648.71689999</v>
      </c>
      <c r="AX563">
        <v>5.0033611872319996</v>
      </c>
      <c r="AY563">
        <v>3502537.9684000001</v>
      </c>
      <c r="AZ563">
        <v>1.0194658878623499</v>
      </c>
      <c r="BA563">
        <v>4138058.4146341402</v>
      </c>
      <c r="BB563">
        <v>1.2044435874105299</v>
      </c>
      <c r="BC563">
        <v>23.4826219516059</v>
      </c>
    </row>
    <row r="564" spans="1:55" x14ac:dyDescent="0.2">
      <c r="A564" t="s">
        <v>1160</v>
      </c>
      <c r="B564" t="s">
        <v>1161</v>
      </c>
      <c r="C564">
        <v>4220</v>
      </c>
      <c r="D564">
        <v>695</v>
      </c>
      <c r="E564">
        <v>525</v>
      </c>
      <c r="F564">
        <v>0</v>
      </c>
      <c r="G564">
        <v>0</v>
      </c>
      <c r="H564">
        <v>0</v>
      </c>
      <c r="I564">
        <v>5440</v>
      </c>
      <c r="J564">
        <v>125144.03</v>
      </c>
      <c r="K564">
        <v>1609311.89</v>
      </c>
      <c r="L564">
        <v>1126518.32</v>
      </c>
      <c r="M564">
        <v>267889.75</v>
      </c>
      <c r="N564">
        <v>815943.37</v>
      </c>
      <c r="O564">
        <v>2152683.9</v>
      </c>
      <c r="P564">
        <v>93440856</v>
      </c>
      <c r="Q564">
        <v>386276.68</v>
      </c>
      <c r="R564">
        <v>26265.9</v>
      </c>
      <c r="S564">
        <v>429122.34</v>
      </c>
      <c r="T564">
        <v>3255340.17</v>
      </c>
      <c r="U564">
        <v>72</v>
      </c>
      <c r="V564">
        <v>0</v>
      </c>
      <c r="W564">
        <v>0</v>
      </c>
      <c r="X564">
        <v>0</v>
      </c>
      <c r="Y564">
        <v>0</v>
      </c>
      <c r="Z564">
        <v>386276.68</v>
      </c>
      <c r="AA564">
        <v>26265.9</v>
      </c>
      <c r="AB564">
        <v>429122.34</v>
      </c>
      <c r="AC564">
        <v>3255340.17</v>
      </c>
      <c r="AD564">
        <v>1.28</v>
      </c>
      <c r="AE564">
        <v>0.45</v>
      </c>
      <c r="AF564">
        <v>1.59</v>
      </c>
      <c r="AG564">
        <v>2.4900000000000002</v>
      </c>
      <c r="AH564">
        <v>0</v>
      </c>
      <c r="AI564">
        <v>0</v>
      </c>
      <c r="AJ564">
        <v>0</v>
      </c>
      <c r="AK564">
        <v>0</v>
      </c>
      <c r="AL564">
        <v>386276.68</v>
      </c>
      <c r="AM564">
        <v>26265.9</v>
      </c>
      <c r="AN564">
        <v>429122.34</v>
      </c>
      <c r="AO564">
        <v>3255340.17</v>
      </c>
      <c r="AP564">
        <v>1126518.32</v>
      </c>
      <c r="AQ564">
        <v>267889.75</v>
      </c>
      <c r="AR564">
        <v>815943.36999999895</v>
      </c>
      <c r="AS564">
        <v>2152683.9</v>
      </c>
      <c r="AT564">
        <v>32.658624000000003</v>
      </c>
      <c r="AU564">
        <v>31.711523904</v>
      </c>
      <c r="AV564">
        <v>56889681.095678397</v>
      </c>
      <c r="AW564">
        <v>353711950.71095997</v>
      </c>
      <c r="AX564">
        <v>6.2175063016450798</v>
      </c>
      <c r="AY564">
        <v>1616860.8676</v>
      </c>
      <c r="AZ564">
        <v>1.0046908108036099</v>
      </c>
      <c r="BA564">
        <v>1864081.7073170701</v>
      </c>
      <c r="BB564">
        <v>1.1583097837654499</v>
      </c>
      <c r="BC564">
        <v>24.504060509097801</v>
      </c>
    </row>
    <row r="565" spans="1:55" x14ac:dyDescent="0.2">
      <c r="A565" t="s">
        <v>1162</v>
      </c>
      <c r="B565" t="s">
        <v>1163</v>
      </c>
      <c r="C565">
        <v>3300</v>
      </c>
      <c r="D565">
        <v>400</v>
      </c>
      <c r="E565">
        <v>1100</v>
      </c>
      <c r="F565">
        <v>1150</v>
      </c>
      <c r="G565">
        <v>1000</v>
      </c>
      <c r="H565">
        <v>800</v>
      </c>
      <c r="I565">
        <v>7750</v>
      </c>
      <c r="J565">
        <v>111921.22</v>
      </c>
      <c r="K565">
        <v>1413164.66</v>
      </c>
      <c r="L565">
        <v>989215.26</v>
      </c>
      <c r="M565">
        <v>226294.27</v>
      </c>
      <c r="N565">
        <v>601101.30000000005</v>
      </c>
      <c r="O565">
        <v>1650294</v>
      </c>
      <c r="P565">
        <v>76552175</v>
      </c>
      <c r="Q565">
        <v>162709.82</v>
      </c>
      <c r="R565">
        <v>38479.9</v>
      </c>
      <c r="S565">
        <v>441525.01</v>
      </c>
      <c r="T565">
        <v>2394333.67</v>
      </c>
      <c r="U565">
        <v>55</v>
      </c>
      <c r="V565">
        <v>88613.9</v>
      </c>
      <c r="W565">
        <v>70188.600000000006</v>
      </c>
      <c r="X565">
        <v>212493.2</v>
      </c>
      <c r="Y565">
        <v>0</v>
      </c>
      <c r="Z565">
        <v>162709.82</v>
      </c>
      <c r="AA565">
        <v>38479.9</v>
      </c>
      <c r="AB565">
        <v>441525.01</v>
      </c>
      <c r="AC565">
        <v>2394333.67</v>
      </c>
      <c r="AD565">
        <v>1.27</v>
      </c>
      <c r="AE565">
        <v>1.58</v>
      </c>
      <c r="AF565">
        <v>1.68</v>
      </c>
      <c r="AG565">
        <v>2.93</v>
      </c>
      <c r="AH565">
        <v>0</v>
      </c>
      <c r="AI565">
        <v>0</v>
      </c>
      <c r="AJ565">
        <v>0</v>
      </c>
      <c r="AK565">
        <v>0</v>
      </c>
      <c r="AL565">
        <v>251323.72</v>
      </c>
      <c r="AM565">
        <v>108668.5</v>
      </c>
      <c r="AN565">
        <v>654018.21</v>
      </c>
      <c r="AO565">
        <v>2394333.67</v>
      </c>
      <c r="AP565">
        <v>900601.36</v>
      </c>
      <c r="AQ565">
        <v>156105.66999999899</v>
      </c>
      <c r="AR565">
        <v>388608.1</v>
      </c>
      <c r="AS565">
        <v>1650294</v>
      </c>
      <c r="AT565">
        <v>24.947559999999999</v>
      </c>
      <c r="AU565">
        <v>24.22408076</v>
      </c>
      <c r="AV565">
        <v>32714621.066379901</v>
      </c>
      <c r="AW565">
        <v>289781368.76674998</v>
      </c>
      <c r="AX565">
        <v>8.8578549688460502</v>
      </c>
      <c r="AY565">
        <v>1446022.1624</v>
      </c>
      <c r="AZ565">
        <v>1.0232510077063399</v>
      </c>
      <c r="BA565">
        <v>1731079.2682926799</v>
      </c>
      <c r="BB565">
        <v>1.22496642980916</v>
      </c>
      <c r="BC565">
        <v>21.5992940456578</v>
      </c>
    </row>
    <row r="566" spans="1:55" x14ac:dyDescent="0.2">
      <c r="A566" t="s">
        <v>1164</v>
      </c>
      <c r="B566" t="s">
        <v>1165</v>
      </c>
      <c r="C566">
        <v>600</v>
      </c>
      <c r="D566">
        <v>300</v>
      </c>
      <c r="E566">
        <v>350</v>
      </c>
      <c r="F566">
        <v>0</v>
      </c>
      <c r="G566">
        <v>0</v>
      </c>
      <c r="H566">
        <v>0</v>
      </c>
      <c r="I566">
        <v>1250</v>
      </c>
      <c r="J566">
        <v>21655.66</v>
      </c>
      <c r="K566">
        <v>280753.39</v>
      </c>
      <c r="L566">
        <v>196527.37</v>
      </c>
      <c r="M566">
        <v>45345.73</v>
      </c>
      <c r="N566">
        <v>111267.55</v>
      </c>
      <c r="O566">
        <v>352458</v>
      </c>
      <c r="P566">
        <v>17064817</v>
      </c>
      <c r="Q566">
        <v>33664.839999999997</v>
      </c>
      <c r="R566">
        <v>10060.81</v>
      </c>
      <c r="S566">
        <v>91513.86</v>
      </c>
      <c r="T566">
        <v>508317.26</v>
      </c>
      <c r="U566">
        <v>60</v>
      </c>
      <c r="V566">
        <v>103541</v>
      </c>
      <c r="W566">
        <v>33924.6</v>
      </c>
      <c r="X566">
        <v>106460.2</v>
      </c>
      <c r="Y566">
        <v>372669.34</v>
      </c>
      <c r="Z566">
        <v>33664.839999999997</v>
      </c>
      <c r="AA566">
        <v>10060.81</v>
      </c>
      <c r="AB566">
        <v>91513.86</v>
      </c>
      <c r="AC566">
        <v>508317.26</v>
      </c>
      <c r="AD566">
        <v>1.18</v>
      </c>
      <c r="AE566">
        <v>1.49</v>
      </c>
      <c r="AF566">
        <v>1.08</v>
      </c>
      <c r="AG566">
        <v>1.77</v>
      </c>
      <c r="AH566">
        <v>0</v>
      </c>
      <c r="AI566">
        <v>0</v>
      </c>
      <c r="AJ566">
        <v>0</v>
      </c>
      <c r="AK566">
        <v>0</v>
      </c>
      <c r="AL566">
        <v>137205.84</v>
      </c>
      <c r="AM566">
        <v>43985.409999999902</v>
      </c>
      <c r="AN566">
        <v>197974.06</v>
      </c>
      <c r="AO566">
        <v>880986.6</v>
      </c>
      <c r="AP566">
        <v>92986.37</v>
      </c>
      <c r="AQ566">
        <v>11421.13</v>
      </c>
      <c r="AR566">
        <v>4807.3500000000004</v>
      </c>
      <c r="AS566">
        <v>-20211.34</v>
      </c>
      <c r="AT566">
        <v>27.215519999999898</v>
      </c>
      <c r="AU566">
        <v>26.4262699199999</v>
      </c>
      <c r="AV566">
        <v>8681029.6687199995</v>
      </c>
      <c r="AW566">
        <v>64597328.919969998</v>
      </c>
      <c r="AX566">
        <v>7.4412058690147003</v>
      </c>
      <c r="AY566">
        <v>279791.12719999999</v>
      </c>
      <c r="AZ566">
        <v>0.99657256925731097</v>
      </c>
      <c r="BA566">
        <v>375237.80487804802</v>
      </c>
      <c r="BB566">
        <v>1.3365388210558999</v>
      </c>
      <c r="BC566">
        <v>21.064817556346298</v>
      </c>
    </row>
    <row r="567" spans="1:55" x14ac:dyDescent="0.2">
      <c r="A567" t="s">
        <v>1166</v>
      </c>
      <c r="B567" t="s">
        <v>1167</v>
      </c>
      <c r="C567">
        <v>1</v>
      </c>
      <c r="D567">
        <v>0</v>
      </c>
      <c r="E567">
        <v>1965</v>
      </c>
      <c r="F567">
        <v>2325</v>
      </c>
      <c r="G567">
        <v>1155</v>
      </c>
      <c r="H567">
        <v>0</v>
      </c>
      <c r="I567">
        <v>5446</v>
      </c>
      <c r="J567">
        <v>43239.78</v>
      </c>
      <c r="K567">
        <v>467762.59</v>
      </c>
      <c r="L567">
        <v>327433.81</v>
      </c>
      <c r="M567">
        <v>73329.53</v>
      </c>
      <c r="N567">
        <v>195.33</v>
      </c>
      <c r="O567">
        <v>472.14</v>
      </c>
      <c r="P567">
        <v>69796249</v>
      </c>
      <c r="Q567">
        <v>128617.26</v>
      </c>
      <c r="R567">
        <v>23057.09</v>
      </c>
      <c r="S567">
        <v>215471.73</v>
      </c>
      <c r="T567">
        <v>785978.06</v>
      </c>
      <c r="U567">
        <v>75</v>
      </c>
      <c r="V567">
        <v>0</v>
      </c>
      <c r="W567">
        <v>0</v>
      </c>
      <c r="X567">
        <v>0</v>
      </c>
      <c r="Y567">
        <v>0</v>
      </c>
      <c r="Z567">
        <v>128617.26</v>
      </c>
      <c r="AA567">
        <v>23057.09</v>
      </c>
      <c r="AB567">
        <v>215471.73</v>
      </c>
      <c r="AC567">
        <v>785978.06</v>
      </c>
      <c r="AD567">
        <v>1.25</v>
      </c>
      <c r="AE567">
        <v>0.97</v>
      </c>
      <c r="AF567">
        <v>1.98</v>
      </c>
      <c r="AG567">
        <v>1.24</v>
      </c>
      <c r="AH567">
        <v>0</v>
      </c>
      <c r="AI567">
        <v>0</v>
      </c>
      <c r="AJ567">
        <v>0</v>
      </c>
      <c r="AK567">
        <v>0</v>
      </c>
      <c r="AL567">
        <v>128617.26</v>
      </c>
      <c r="AM567">
        <v>23057.09</v>
      </c>
      <c r="AN567">
        <v>215471.73</v>
      </c>
      <c r="AO567">
        <v>785978.06</v>
      </c>
      <c r="AP567">
        <v>327433.81</v>
      </c>
      <c r="AQ567">
        <v>73329.53</v>
      </c>
      <c r="AR567">
        <v>195.329999999987</v>
      </c>
      <c r="AS567">
        <v>472.140000000013</v>
      </c>
      <c r="AT567">
        <v>34.019399999999997</v>
      </c>
      <c r="AU567">
        <v>33.032837399999998</v>
      </c>
      <c r="AV567">
        <v>12056.985650999901</v>
      </c>
      <c r="AW567">
        <v>264207418.92708999</v>
      </c>
      <c r="AX567">
        <v>21913.223302639999</v>
      </c>
      <c r="AY567">
        <v>558657.95759999997</v>
      </c>
      <c r="AZ567">
        <v>1.19431944653803</v>
      </c>
      <c r="BA567">
        <v>624648.53658536496</v>
      </c>
      <c r="BB567">
        <v>1.3353965236624901</v>
      </c>
      <c r="BC567">
        <v>21.695028880512901</v>
      </c>
    </row>
    <row r="568" spans="1:55" x14ac:dyDescent="0.2">
      <c r="A568" t="s">
        <v>1168</v>
      </c>
      <c r="B568" t="s">
        <v>1169</v>
      </c>
      <c r="C568">
        <v>1400</v>
      </c>
      <c r="D568">
        <v>300</v>
      </c>
      <c r="E568">
        <v>300</v>
      </c>
      <c r="F568">
        <v>400</v>
      </c>
      <c r="G568">
        <v>300</v>
      </c>
      <c r="H568">
        <v>200</v>
      </c>
      <c r="I568">
        <v>2900</v>
      </c>
      <c r="J568">
        <v>48132.4</v>
      </c>
      <c r="K568">
        <v>609334.01</v>
      </c>
      <c r="L568">
        <v>426533.81</v>
      </c>
      <c r="M568">
        <v>98453.7</v>
      </c>
      <c r="N568">
        <v>265158.19</v>
      </c>
      <c r="O568">
        <v>730170</v>
      </c>
      <c r="P568">
        <v>45426877</v>
      </c>
      <c r="Q568">
        <v>187344.5</v>
      </c>
      <c r="R568">
        <v>28182.04</v>
      </c>
      <c r="S568">
        <v>204328.45</v>
      </c>
      <c r="T568">
        <v>1121450.6599999999</v>
      </c>
      <c r="U568">
        <v>66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609318.5</v>
      </c>
      <c r="AI568">
        <v>293790.03999999998</v>
      </c>
      <c r="AJ568">
        <v>517060.45</v>
      </c>
      <c r="AK568">
        <v>9198932.6600000001</v>
      </c>
      <c r="AL568">
        <v>0</v>
      </c>
      <c r="AM568">
        <v>0</v>
      </c>
      <c r="AN568">
        <v>0</v>
      </c>
      <c r="AO568">
        <v>0</v>
      </c>
      <c r="AP568">
        <v>4559.8100000000504</v>
      </c>
      <c r="AQ568">
        <v>-167154.29999999999</v>
      </c>
      <c r="AR568">
        <v>-47573.81</v>
      </c>
      <c r="AS568">
        <v>-7347312</v>
      </c>
      <c r="AT568">
        <v>29.937072000000001</v>
      </c>
      <c r="AU568">
        <v>29.068896912</v>
      </c>
      <c r="AV568">
        <v>18037250.533895999</v>
      </c>
      <c r="AW568">
        <v>171959354.46456999</v>
      </c>
      <c r="AX568">
        <v>9.5335679981502803</v>
      </c>
      <c r="AY568">
        <v>621870.60800000001</v>
      </c>
      <c r="AZ568">
        <v>1.0205742627101999</v>
      </c>
      <c r="BA568">
        <v>736231.70731707301</v>
      </c>
      <c r="BB568">
        <v>1.20825638358356</v>
      </c>
      <c r="BC568">
        <v>22.5020342075256</v>
      </c>
    </row>
    <row r="569" spans="1:55" x14ac:dyDescent="0.2">
      <c r="A569" t="s">
        <v>1170</v>
      </c>
      <c r="B569" t="s">
        <v>1171</v>
      </c>
      <c r="C569">
        <v>2600</v>
      </c>
      <c r="D569">
        <v>350</v>
      </c>
      <c r="E569">
        <v>1400</v>
      </c>
      <c r="F569">
        <v>1900</v>
      </c>
      <c r="G569">
        <v>800</v>
      </c>
      <c r="H569">
        <v>0</v>
      </c>
      <c r="I569">
        <v>7050</v>
      </c>
      <c r="J569">
        <v>109805.57</v>
      </c>
      <c r="K569">
        <v>1313449.8999999999</v>
      </c>
      <c r="L569">
        <v>919414.93</v>
      </c>
      <c r="M569">
        <v>216201.27</v>
      </c>
      <c r="N569">
        <v>507852.56</v>
      </c>
      <c r="O569">
        <v>1308267</v>
      </c>
      <c r="P569">
        <v>48675622</v>
      </c>
      <c r="Q569">
        <v>89589.03</v>
      </c>
      <c r="R569">
        <v>19016.16</v>
      </c>
      <c r="S569">
        <v>101566.96</v>
      </c>
      <c r="T569">
        <v>684686.74</v>
      </c>
      <c r="U569">
        <v>75</v>
      </c>
      <c r="V569">
        <v>182589.8</v>
      </c>
      <c r="W569">
        <v>56514.6</v>
      </c>
      <c r="X569">
        <v>188315.4</v>
      </c>
      <c r="Y569">
        <v>0</v>
      </c>
      <c r="Z569">
        <v>89589.03</v>
      </c>
      <c r="AA569">
        <v>19016.16</v>
      </c>
      <c r="AB569">
        <v>101566.96</v>
      </c>
      <c r="AC569">
        <v>684686.74</v>
      </c>
      <c r="AD569">
        <v>1.2</v>
      </c>
      <c r="AE569">
        <v>1.43</v>
      </c>
      <c r="AF569">
        <v>0.85</v>
      </c>
      <c r="AG569">
        <v>1.57</v>
      </c>
      <c r="AH569">
        <v>404363.7</v>
      </c>
      <c r="AI569">
        <v>124419.6</v>
      </c>
      <c r="AJ569">
        <v>653202.9</v>
      </c>
      <c r="AK569">
        <v>0</v>
      </c>
      <c r="AL569">
        <v>272178.82999999903</v>
      </c>
      <c r="AM569">
        <v>75530.759999999995</v>
      </c>
      <c r="AN569">
        <v>289882.36</v>
      </c>
      <c r="AO569">
        <v>684686.74</v>
      </c>
      <c r="AP569">
        <v>332461.43</v>
      </c>
      <c r="AQ569">
        <v>35267.069999999898</v>
      </c>
      <c r="AR569">
        <v>-333665.74</v>
      </c>
      <c r="AS569">
        <v>1308267</v>
      </c>
      <c r="AT569">
        <v>34.019399999999997</v>
      </c>
      <c r="AU569">
        <v>33.032837399999998</v>
      </c>
      <c r="AV569">
        <v>35568107.670449898</v>
      </c>
      <c r="AW569">
        <v>184257186.27502</v>
      </c>
      <c r="AX569">
        <v>5.1804045349340004</v>
      </c>
      <c r="AY569">
        <v>1418687.9643999999</v>
      </c>
      <c r="AZ569">
        <v>1.0801233944286699</v>
      </c>
      <c r="BA569">
        <v>1553030.4878048699</v>
      </c>
      <c r="BB569">
        <v>1.1824055777117</v>
      </c>
      <c r="BC569">
        <v>24.675408988764001</v>
      </c>
    </row>
    <row r="570" spans="1:55" x14ac:dyDescent="0.2">
      <c r="A570" t="s">
        <v>1172</v>
      </c>
      <c r="B570" t="s">
        <v>1173</v>
      </c>
      <c r="C570">
        <v>745</v>
      </c>
      <c r="D570">
        <v>81</v>
      </c>
      <c r="E570">
        <v>551</v>
      </c>
      <c r="F570">
        <v>426</v>
      </c>
      <c r="G570">
        <v>129</v>
      </c>
      <c r="H570">
        <v>112</v>
      </c>
      <c r="I570">
        <v>2044</v>
      </c>
      <c r="J570">
        <v>31205.31</v>
      </c>
      <c r="K570">
        <v>370685.88</v>
      </c>
      <c r="L570">
        <v>259480.12</v>
      </c>
      <c r="M570">
        <v>60978.86</v>
      </c>
      <c r="N570">
        <v>143065.26</v>
      </c>
      <c r="O570">
        <v>370421.28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70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259480.12</v>
      </c>
      <c r="AQ570">
        <v>60978.86</v>
      </c>
      <c r="AR570">
        <v>143065.26</v>
      </c>
      <c r="AS570">
        <v>370421.28</v>
      </c>
      <c r="AT570">
        <v>31.751439999999999</v>
      </c>
      <c r="AU570">
        <v>30.830648239999999</v>
      </c>
      <c r="AV570">
        <v>9295132.1378775891</v>
      </c>
      <c r="AW570">
        <v>0</v>
      </c>
      <c r="AY570">
        <v>403172.60519999999</v>
      </c>
      <c r="AZ570">
        <v>1.0876395000532499</v>
      </c>
      <c r="BA570">
        <v>442682.68292682897</v>
      </c>
      <c r="BB570">
        <v>1.1942259115098399</v>
      </c>
      <c r="BC570">
        <v>24.540005178763199</v>
      </c>
    </row>
    <row r="571" spans="1:55" x14ac:dyDescent="0.2">
      <c r="A571" t="s">
        <v>1174</v>
      </c>
      <c r="B571" t="s">
        <v>1175</v>
      </c>
      <c r="C571">
        <v>4800</v>
      </c>
      <c r="D571">
        <v>700</v>
      </c>
      <c r="E571">
        <v>1300</v>
      </c>
      <c r="F571">
        <v>1300</v>
      </c>
      <c r="G571">
        <v>400</v>
      </c>
      <c r="H571">
        <v>0</v>
      </c>
      <c r="I571">
        <v>8500</v>
      </c>
      <c r="J571">
        <v>150989.89000000001</v>
      </c>
      <c r="K571">
        <v>1936391.08</v>
      </c>
      <c r="L571">
        <v>1355473.76</v>
      </c>
      <c r="M571">
        <v>319929.17</v>
      </c>
      <c r="N571">
        <v>890140.37</v>
      </c>
      <c r="O571">
        <v>2427678</v>
      </c>
      <c r="P571">
        <v>46305000</v>
      </c>
      <c r="Q571">
        <v>265983.58</v>
      </c>
      <c r="R571">
        <v>42201.31</v>
      </c>
      <c r="S571">
        <v>362631.71</v>
      </c>
      <c r="T571">
        <v>1358924.33</v>
      </c>
      <c r="U571">
        <v>60</v>
      </c>
      <c r="V571">
        <v>72864</v>
      </c>
      <c r="W571">
        <v>66749.86</v>
      </c>
      <c r="X571">
        <v>16954.63</v>
      </c>
      <c r="Y571">
        <v>45994.35</v>
      </c>
      <c r="Z571">
        <v>265983.58</v>
      </c>
      <c r="AA571">
        <v>42201.31</v>
      </c>
      <c r="AB571">
        <v>362631.71</v>
      </c>
      <c r="AC571">
        <v>1358924.33</v>
      </c>
      <c r="AD571">
        <v>1.1499999999999999</v>
      </c>
      <c r="AE571">
        <v>1.63</v>
      </c>
      <c r="AF571">
        <v>1.02</v>
      </c>
      <c r="AG571">
        <v>5</v>
      </c>
      <c r="AH571">
        <v>847799.4</v>
      </c>
      <c r="AI571">
        <v>619789.26</v>
      </c>
      <c r="AJ571">
        <v>756095.6</v>
      </c>
      <c r="AK571">
        <v>11992635.74</v>
      </c>
      <c r="AL571">
        <v>338847.58</v>
      </c>
      <c r="AM571">
        <v>108951.17</v>
      </c>
      <c r="AN571">
        <v>379586.34</v>
      </c>
      <c r="AO571">
        <v>1404918.68</v>
      </c>
      <c r="AP571">
        <v>434810.36</v>
      </c>
      <c r="AQ571">
        <v>-366609.95</v>
      </c>
      <c r="AR571">
        <v>117090.14</v>
      </c>
      <c r="AS571">
        <v>-9610952.0899999999</v>
      </c>
      <c r="AT571">
        <v>27.215519999999898</v>
      </c>
      <c r="AU571">
        <v>26.4262699199999</v>
      </c>
      <c r="AV571">
        <v>53050736.864399903</v>
      </c>
      <c r="AW571">
        <v>175283410.05000001</v>
      </c>
      <c r="AX571">
        <v>3.3040711667781699</v>
      </c>
      <c r="AY571">
        <v>1950789.3788000001</v>
      </c>
      <c r="AZ571">
        <v>1.0074356357807599</v>
      </c>
      <c r="BA571">
        <v>2372500</v>
      </c>
      <c r="BB571">
        <v>1.2252173770599999</v>
      </c>
      <c r="BC571">
        <v>22.885713456561898</v>
      </c>
    </row>
    <row r="572" spans="1:55" x14ac:dyDescent="0.2">
      <c r="A572" t="s">
        <v>1176</v>
      </c>
      <c r="B572" t="s">
        <v>1177</v>
      </c>
      <c r="C572">
        <v>0</v>
      </c>
      <c r="D572">
        <v>475</v>
      </c>
      <c r="E572">
        <v>0</v>
      </c>
      <c r="F572">
        <v>0</v>
      </c>
      <c r="G572">
        <v>0</v>
      </c>
      <c r="H572">
        <v>0</v>
      </c>
      <c r="I572">
        <v>475</v>
      </c>
      <c r="J572">
        <v>5046.67</v>
      </c>
      <c r="K572">
        <v>86925</v>
      </c>
      <c r="L572">
        <v>60847.5</v>
      </c>
      <c r="M572">
        <v>11474.1</v>
      </c>
      <c r="N572">
        <v>1</v>
      </c>
      <c r="O572">
        <v>109525.5</v>
      </c>
      <c r="P572">
        <v>2527000</v>
      </c>
      <c r="Q572">
        <v>10367.49</v>
      </c>
      <c r="R572">
        <v>3776.55</v>
      </c>
      <c r="S572">
        <v>42523.28</v>
      </c>
      <c r="T572">
        <v>157666.84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10367.49</v>
      </c>
      <c r="AA572">
        <v>3776.55</v>
      </c>
      <c r="AB572">
        <v>42523.28</v>
      </c>
      <c r="AC572">
        <v>157666.84</v>
      </c>
      <c r="AD572">
        <v>1.39</v>
      </c>
      <c r="AE572">
        <v>1.21</v>
      </c>
      <c r="AF572">
        <v>3.06</v>
      </c>
      <c r="AG572">
        <v>11.41</v>
      </c>
      <c r="AH572">
        <v>0</v>
      </c>
      <c r="AI572">
        <v>0</v>
      </c>
      <c r="AJ572">
        <v>0</v>
      </c>
      <c r="AK572">
        <v>0</v>
      </c>
      <c r="AL572">
        <v>10367.49</v>
      </c>
      <c r="AM572">
        <v>3776.55</v>
      </c>
      <c r="AN572">
        <v>42523.28</v>
      </c>
      <c r="AO572">
        <v>157666.84</v>
      </c>
      <c r="AP572">
        <v>60847.5</v>
      </c>
      <c r="AQ572">
        <v>11474.1</v>
      </c>
      <c r="AR572">
        <v>1</v>
      </c>
      <c r="AS572">
        <v>109525.499999999</v>
      </c>
      <c r="AT572">
        <v>0.453592</v>
      </c>
      <c r="AU572">
        <v>0.44043783199999997</v>
      </c>
      <c r="AV572">
        <v>76360.909122999903</v>
      </c>
      <c r="AW572">
        <v>9565731.0700000003</v>
      </c>
      <c r="AX572">
        <v>125.269999792587</v>
      </c>
      <c r="AY572">
        <v>65202.9764</v>
      </c>
      <c r="AZ572">
        <v>0.75010614207650195</v>
      </c>
      <c r="BA572">
        <v>173375</v>
      </c>
      <c r="BB572">
        <v>1.9945355191256799</v>
      </c>
      <c r="BC572">
        <v>10.624568421052601</v>
      </c>
    </row>
    <row r="573" spans="1:55" x14ac:dyDescent="0.2">
      <c r="A573" t="s">
        <v>1178</v>
      </c>
      <c r="B573" t="s">
        <v>1179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1</v>
      </c>
      <c r="L573">
        <v>0.7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85086.98</v>
      </c>
      <c r="W573">
        <v>62574.34</v>
      </c>
      <c r="X573">
        <v>21095.72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1.29</v>
      </c>
      <c r="AE573">
        <v>2.9</v>
      </c>
      <c r="AF573">
        <v>0.2</v>
      </c>
      <c r="AG573">
        <v>1.95</v>
      </c>
      <c r="AH573">
        <v>0</v>
      </c>
      <c r="AI573">
        <v>0</v>
      </c>
      <c r="AJ573">
        <v>0</v>
      </c>
      <c r="AK573">
        <v>0</v>
      </c>
      <c r="AL573">
        <v>85086.98</v>
      </c>
      <c r="AM573">
        <v>62574.34</v>
      </c>
      <c r="AN573">
        <v>21095.72</v>
      </c>
      <c r="AO573">
        <v>0</v>
      </c>
      <c r="AP573">
        <v>-85086.28</v>
      </c>
      <c r="AQ573">
        <v>-62573.34</v>
      </c>
      <c r="AR573">
        <v>-21094.720000000001</v>
      </c>
      <c r="AS573">
        <v>0</v>
      </c>
      <c r="AT573">
        <v>0.453592</v>
      </c>
      <c r="AU573">
        <v>0.44043783199999997</v>
      </c>
      <c r="AV573">
        <v>0</v>
      </c>
      <c r="AW573">
        <v>0</v>
      </c>
    </row>
    <row r="574" spans="1:55" x14ac:dyDescent="0.2">
      <c r="A574" t="s">
        <v>1180</v>
      </c>
      <c r="B574" t="s">
        <v>1181</v>
      </c>
      <c r="C574">
        <v>148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148</v>
      </c>
      <c r="J574">
        <v>3806.82</v>
      </c>
      <c r="K574">
        <v>49772.24</v>
      </c>
      <c r="L574">
        <v>34840.57</v>
      </c>
      <c r="M574">
        <v>8426.14</v>
      </c>
      <c r="N574">
        <v>28421.02</v>
      </c>
      <c r="O574">
        <v>69876.72</v>
      </c>
      <c r="P574">
        <v>24090000</v>
      </c>
      <c r="Q574">
        <v>67089.440000000002</v>
      </c>
      <c r="R574">
        <v>4002.02</v>
      </c>
      <c r="S574">
        <v>50818.55</v>
      </c>
      <c r="T574">
        <v>316547.46999999997</v>
      </c>
      <c r="U574">
        <v>70</v>
      </c>
      <c r="V574">
        <v>332278.46000000002</v>
      </c>
      <c r="W574">
        <v>78518</v>
      </c>
      <c r="X574">
        <v>378628.6</v>
      </c>
      <c r="Y574">
        <v>355573.44</v>
      </c>
      <c r="Z574">
        <v>67089.440000000002</v>
      </c>
      <c r="AA574">
        <v>4002.02</v>
      </c>
      <c r="AB574">
        <v>50818.55</v>
      </c>
      <c r="AC574">
        <v>316547.46999999997</v>
      </c>
      <c r="AD574">
        <v>0.83</v>
      </c>
      <c r="AE574">
        <v>0.84</v>
      </c>
      <c r="AF574">
        <v>0.6</v>
      </c>
      <c r="AG574">
        <v>1.08</v>
      </c>
      <c r="AH574">
        <v>0</v>
      </c>
      <c r="AI574">
        <v>0</v>
      </c>
      <c r="AJ574">
        <v>0</v>
      </c>
      <c r="AK574">
        <v>0</v>
      </c>
      <c r="AL574">
        <v>399367.9</v>
      </c>
      <c r="AM574">
        <v>82520.02</v>
      </c>
      <c r="AN574">
        <v>429447.14999999898</v>
      </c>
      <c r="AO574">
        <v>672120.90999999898</v>
      </c>
      <c r="AP574">
        <v>-297437.89</v>
      </c>
      <c r="AQ574">
        <v>-70091.86</v>
      </c>
      <c r="AR574">
        <v>-350207.57999999903</v>
      </c>
      <c r="AS574">
        <v>-285696.71999999997</v>
      </c>
      <c r="AT574">
        <v>31.751439999999999</v>
      </c>
      <c r="AU574">
        <v>30.830648239999999</v>
      </c>
      <c r="AV574">
        <v>1665471.6179247999</v>
      </c>
      <c r="AW574">
        <v>91190526.900000006</v>
      </c>
      <c r="AX574">
        <v>54.753576055306503</v>
      </c>
      <c r="AY574">
        <v>49184.114399999999</v>
      </c>
      <c r="AZ574">
        <v>0.98818366221813603</v>
      </c>
      <c r="BA574">
        <v>54020</v>
      </c>
      <c r="BB574">
        <v>1.08534395880113</v>
      </c>
      <c r="BC574">
        <v>25.721756756756701</v>
      </c>
    </row>
    <row r="575" spans="1:55" x14ac:dyDescent="0.2">
      <c r="A575" t="s">
        <v>1182</v>
      </c>
      <c r="B575" t="s">
        <v>1183</v>
      </c>
      <c r="C575">
        <v>2640</v>
      </c>
      <c r="D575">
        <v>325</v>
      </c>
      <c r="E575">
        <v>805</v>
      </c>
      <c r="F575">
        <v>1025</v>
      </c>
      <c r="G575">
        <v>505</v>
      </c>
      <c r="H575">
        <v>330</v>
      </c>
      <c r="I575">
        <v>5630</v>
      </c>
      <c r="J575">
        <v>95471.44</v>
      </c>
      <c r="K575">
        <v>1184542.79</v>
      </c>
      <c r="L575">
        <v>829179.95</v>
      </c>
      <c r="M575">
        <v>194385.23</v>
      </c>
      <c r="N575">
        <v>515665.68</v>
      </c>
      <c r="O575">
        <v>1321388.1000000001</v>
      </c>
      <c r="P575">
        <v>189114192</v>
      </c>
      <c r="Q575">
        <v>236110.39</v>
      </c>
      <c r="R575">
        <v>56128.84</v>
      </c>
      <c r="S575">
        <v>311534.76</v>
      </c>
      <c r="T575">
        <v>2106815.2599999998</v>
      </c>
      <c r="U575">
        <v>75</v>
      </c>
      <c r="V575">
        <v>151247</v>
      </c>
      <c r="W575">
        <v>65598.89</v>
      </c>
      <c r="X575">
        <v>131505.93</v>
      </c>
      <c r="Y575">
        <v>2114089.9500000002</v>
      </c>
      <c r="Z575">
        <v>236110.39</v>
      </c>
      <c r="AA575">
        <v>56128.84</v>
      </c>
      <c r="AB575">
        <v>311534.76</v>
      </c>
      <c r="AC575">
        <v>2106815.2599999998</v>
      </c>
      <c r="AD575">
        <v>1.1599999999999999</v>
      </c>
      <c r="AE575">
        <v>0.98</v>
      </c>
      <c r="AF575">
        <v>1.23</v>
      </c>
      <c r="AG575">
        <v>2.16</v>
      </c>
      <c r="AH575">
        <v>216684</v>
      </c>
      <c r="AI575">
        <v>64523.68</v>
      </c>
      <c r="AJ575">
        <v>148308.16</v>
      </c>
      <c r="AK575">
        <v>0</v>
      </c>
      <c r="AL575">
        <v>387357.39</v>
      </c>
      <c r="AM575">
        <v>121727.73</v>
      </c>
      <c r="AN575">
        <v>443040.69</v>
      </c>
      <c r="AO575">
        <v>4220905.21</v>
      </c>
      <c r="AP575">
        <v>461248.94999999902</v>
      </c>
      <c r="AQ575">
        <v>64262.66</v>
      </c>
      <c r="AR575">
        <v>235851.58999999901</v>
      </c>
      <c r="AS575">
        <v>-792701.85</v>
      </c>
      <c r="AT575">
        <v>34.019399999999997</v>
      </c>
      <c r="AU575">
        <v>33.032837399999998</v>
      </c>
      <c r="AV575">
        <v>35748962.455215</v>
      </c>
      <c r="AW575">
        <v>715874753.53872001</v>
      </c>
      <c r="AX575">
        <v>20.0250498020898</v>
      </c>
      <c r="AY575">
        <v>1233491.0048</v>
      </c>
      <c r="AZ575">
        <v>1.04132245387268</v>
      </c>
      <c r="BA575">
        <v>1363764.63414634</v>
      </c>
      <c r="BB575">
        <v>1.15130043900426</v>
      </c>
      <c r="BC575">
        <v>24.2313299492385</v>
      </c>
    </row>
    <row r="576" spans="1:55" x14ac:dyDescent="0.2">
      <c r="A576" t="s">
        <v>1184</v>
      </c>
      <c r="B576" t="s">
        <v>1185</v>
      </c>
      <c r="C576">
        <v>3200</v>
      </c>
      <c r="D576">
        <v>600</v>
      </c>
      <c r="E576">
        <v>1150</v>
      </c>
      <c r="F576">
        <v>1400</v>
      </c>
      <c r="G576">
        <v>400</v>
      </c>
      <c r="H576">
        <v>0</v>
      </c>
      <c r="I576">
        <v>6750</v>
      </c>
      <c r="J576">
        <v>119841.16</v>
      </c>
      <c r="K576">
        <v>1473729.26</v>
      </c>
      <c r="L576">
        <v>1031610.48</v>
      </c>
      <c r="M576">
        <v>243721.7</v>
      </c>
      <c r="N576">
        <v>625049.31000000006</v>
      </c>
      <c r="O576">
        <v>1649196</v>
      </c>
      <c r="P576">
        <v>20877274</v>
      </c>
      <c r="Q576">
        <v>148946.64000000001</v>
      </c>
      <c r="R576">
        <v>12422.23</v>
      </c>
      <c r="S576">
        <v>197264.28</v>
      </c>
      <c r="T576">
        <v>952071.93</v>
      </c>
      <c r="U576">
        <v>75</v>
      </c>
      <c r="V576">
        <v>151767</v>
      </c>
      <c r="W576">
        <v>46068.6</v>
      </c>
      <c r="X576">
        <v>134084.4</v>
      </c>
      <c r="Y576">
        <v>0</v>
      </c>
      <c r="Z576">
        <v>148946.64000000001</v>
      </c>
      <c r="AA576">
        <v>12422.23</v>
      </c>
      <c r="AB576">
        <v>197264.28</v>
      </c>
      <c r="AC576">
        <v>952071.93</v>
      </c>
      <c r="AD576">
        <v>1.18</v>
      </c>
      <c r="AE576">
        <v>1.04</v>
      </c>
      <c r="AF576">
        <v>0.88</v>
      </c>
      <c r="AG576">
        <v>1.28</v>
      </c>
      <c r="AH576">
        <v>50025</v>
      </c>
      <c r="AI576">
        <v>15525</v>
      </c>
      <c r="AJ576">
        <v>37950</v>
      </c>
      <c r="AK576">
        <v>0</v>
      </c>
      <c r="AL576">
        <v>300713.64</v>
      </c>
      <c r="AM576">
        <v>58490.83</v>
      </c>
      <c r="AN576">
        <v>331348.68</v>
      </c>
      <c r="AO576">
        <v>952071.93</v>
      </c>
      <c r="AP576">
        <v>829818.48</v>
      </c>
      <c r="AQ576">
        <v>182128.1</v>
      </c>
      <c r="AR576">
        <v>453014.91</v>
      </c>
      <c r="AS576">
        <v>1649196</v>
      </c>
      <c r="AT576">
        <v>34.019399999999997</v>
      </c>
      <c r="AU576">
        <v>33.032837399999998</v>
      </c>
      <c r="AV576">
        <v>45816545.473799899</v>
      </c>
      <c r="AW576">
        <v>79029041.77234</v>
      </c>
      <c r="AX576">
        <v>1.7249018003230301</v>
      </c>
      <c r="AY576">
        <v>1548347.7871999999</v>
      </c>
      <c r="AZ576">
        <v>1.0506324528020801</v>
      </c>
      <c r="BA576">
        <v>1745323.1707317</v>
      </c>
      <c r="BB576">
        <v>1.18429023437568</v>
      </c>
      <c r="BC576">
        <v>24.561297475631001</v>
      </c>
    </row>
    <row r="577" spans="1:55" x14ac:dyDescent="0.2">
      <c r="A577" t="s">
        <v>1186</v>
      </c>
      <c r="B577" t="s">
        <v>1187</v>
      </c>
      <c r="C577">
        <v>3800</v>
      </c>
      <c r="D577">
        <v>650</v>
      </c>
      <c r="E577">
        <v>500</v>
      </c>
      <c r="F577">
        <v>0</v>
      </c>
      <c r="G577">
        <v>0</v>
      </c>
      <c r="H577">
        <v>0</v>
      </c>
      <c r="I577">
        <v>4950</v>
      </c>
      <c r="J577">
        <v>112933.11</v>
      </c>
      <c r="K577">
        <v>1444466.01</v>
      </c>
      <c r="L577">
        <v>1011126.21</v>
      </c>
      <c r="M577">
        <v>240100.28</v>
      </c>
      <c r="N577">
        <v>729728.86</v>
      </c>
      <c r="O577">
        <v>1944009</v>
      </c>
      <c r="P577">
        <v>65168373</v>
      </c>
      <c r="Q577">
        <v>255489.41</v>
      </c>
      <c r="R577">
        <v>21728.63</v>
      </c>
      <c r="S577">
        <v>164864.14000000001</v>
      </c>
      <c r="T577">
        <v>1486906.29</v>
      </c>
      <c r="U577">
        <v>70</v>
      </c>
      <c r="V577">
        <v>98832.4</v>
      </c>
      <c r="W577">
        <v>28377.8</v>
      </c>
      <c r="X577">
        <v>70070.2</v>
      </c>
      <c r="Y577">
        <v>0</v>
      </c>
      <c r="Z577">
        <v>153293.20000000001</v>
      </c>
      <c r="AA577">
        <v>19637.71</v>
      </c>
      <c r="AB577">
        <v>150630.9</v>
      </c>
      <c r="AC577">
        <v>805954.29</v>
      </c>
      <c r="AD577">
        <v>1.1399999999999999</v>
      </c>
      <c r="AE577">
        <v>0.93</v>
      </c>
      <c r="AF577">
        <v>0.78</v>
      </c>
      <c r="AG577">
        <v>1.56</v>
      </c>
      <c r="AH577">
        <v>147037.81</v>
      </c>
      <c r="AI577">
        <v>11162.92</v>
      </c>
      <c r="AJ577">
        <v>42745.23</v>
      </c>
      <c r="AK577">
        <v>680952</v>
      </c>
      <c r="AL577">
        <v>252125.6</v>
      </c>
      <c r="AM577">
        <v>48015.5099999999</v>
      </c>
      <c r="AN577">
        <v>220701.09999999899</v>
      </c>
      <c r="AO577">
        <v>805954.29</v>
      </c>
      <c r="AP577">
        <v>867452.21</v>
      </c>
      <c r="AQ577">
        <v>202650.48</v>
      </c>
      <c r="AR577">
        <v>631146.67000000004</v>
      </c>
      <c r="AS577">
        <v>1944009</v>
      </c>
      <c r="AT577">
        <v>31.751439999999999</v>
      </c>
      <c r="AU577">
        <v>30.830648239999999</v>
      </c>
      <c r="AV577">
        <v>50076680.403819896</v>
      </c>
      <c r="AW577">
        <v>246689010.83792999</v>
      </c>
      <c r="AX577">
        <v>4.9262253178250104</v>
      </c>
      <c r="AY577">
        <v>1459095.7812000001</v>
      </c>
      <c r="AZ577">
        <v>1.0101281519251499</v>
      </c>
      <c r="BA577">
        <v>1691018.2926829199</v>
      </c>
      <c r="BB577">
        <v>1.1706874934931299</v>
      </c>
      <c r="BC577">
        <v>24.376191155567199</v>
      </c>
    </row>
    <row r="578" spans="1:55" x14ac:dyDescent="0.2">
      <c r="A578" t="s">
        <v>1188</v>
      </c>
      <c r="B578" t="s">
        <v>1189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1</v>
      </c>
      <c r="L578">
        <v>0.7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1.1000000000000001</v>
      </c>
      <c r="AE578">
        <v>0</v>
      </c>
      <c r="AF578">
        <v>0</v>
      </c>
      <c r="AG578">
        <v>0.78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0.7</v>
      </c>
      <c r="AQ578">
        <v>1</v>
      </c>
      <c r="AR578">
        <v>1</v>
      </c>
      <c r="AS578">
        <v>0</v>
      </c>
      <c r="AT578">
        <v>0.453592</v>
      </c>
      <c r="AU578">
        <v>0.44043783199999997</v>
      </c>
      <c r="AV578">
        <v>0</v>
      </c>
      <c r="AW578">
        <v>0</v>
      </c>
    </row>
    <row r="579" spans="1:55" x14ac:dyDescent="0.2">
      <c r="A579" t="s">
        <v>1190</v>
      </c>
      <c r="B579" t="s">
        <v>1191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1</v>
      </c>
      <c r="L579">
        <v>0.7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0.7</v>
      </c>
      <c r="AQ579">
        <v>1</v>
      </c>
      <c r="AR579">
        <v>1</v>
      </c>
      <c r="AS579">
        <v>0</v>
      </c>
      <c r="AT579">
        <v>0.453592</v>
      </c>
      <c r="AU579">
        <v>0.44043783199999997</v>
      </c>
      <c r="AV579">
        <v>0</v>
      </c>
      <c r="AW579">
        <v>0</v>
      </c>
    </row>
    <row r="580" spans="1:55" x14ac:dyDescent="0.2">
      <c r="A580" t="s">
        <v>1192</v>
      </c>
      <c r="B580" t="s">
        <v>1193</v>
      </c>
      <c r="C580">
        <v>350</v>
      </c>
      <c r="D580">
        <v>18</v>
      </c>
      <c r="E580">
        <v>0</v>
      </c>
      <c r="F580">
        <v>0</v>
      </c>
      <c r="G580">
        <v>0</v>
      </c>
      <c r="H580">
        <v>0</v>
      </c>
      <c r="I580">
        <v>368</v>
      </c>
      <c r="J580">
        <v>9059.1299999999992</v>
      </c>
      <c r="K580">
        <v>118305.97</v>
      </c>
      <c r="L580">
        <v>82814.179999999993</v>
      </c>
      <c r="M580">
        <v>19866.39</v>
      </c>
      <c r="N580">
        <v>66058.97</v>
      </c>
      <c r="O580">
        <v>169399.44</v>
      </c>
      <c r="P580">
        <v>5670000</v>
      </c>
      <c r="Q580">
        <v>12776.87</v>
      </c>
      <c r="R580">
        <v>3802.01</v>
      </c>
      <c r="S580">
        <v>12695.1</v>
      </c>
      <c r="T580">
        <v>73821.61</v>
      </c>
      <c r="U580">
        <v>65</v>
      </c>
      <c r="V580">
        <v>0</v>
      </c>
      <c r="W580">
        <v>0</v>
      </c>
      <c r="X580">
        <v>0</v>
      </c>
      <c r="Y580">
        <v>0</v>
      </c>
      <c r="Z580">
        <v>12776.87</v>
      </c>
      <c r="AA580">
        <v>3802.01</v>
      </c>
      <c r="AB580">
        <v>12695.1</v>
      </c>
      <c r="AC580">
        <v>73821.61</v>
      </c>
      <c r="AD580">
        <v>0.61</v>
      </c>
      <c r="AE580">
        <v>0.18</v>
      </c>
      <c r="AF580">
        <v>0.19</v>
      </c>
      <c r="AG580">
        <v>0.79</v>
      </c>
      <c r="AH580">
        <v>0</v>
      </c>
      <c r="AI580">
        <v>0</v>
      </c>
      <c r="AJ580">
        <v>0</v>
      </c>
      <c r="AK580">
        <v>0</v>
      </c>
      <c r="AL580">
        <v>12776.87</v>
      </c>
      <c r="AM580">
        <v>3802.01</v>
      </c>
      <c r="AN580">
        <v>12695.1</v>
      </c>
      <c r="AO580">
        <v>73821.61</v>
      </c>
      <c r="AP580">
        <v>82814.179999999993</v>
      </c>
      <c r="AQ580">
        <v>19866.39</v>
      </c>
      <c r="AR580">
        <v>66058.97</v>
      </c>
      <c r="AS580">
        <v>169399.44</v>
      </c>
      <c r="AT580">
        <v>29.48348</v>
      </c>
      <c r="AU580">
        <v>28.628459079999999</v>
      </c>
      <c r="AV580">
        <v>3845374.6236255998</v>
      </c>
      <c r="AW580">
        <v>21463274.699999999</v>
      </c>
      <c r="AX580">
        <v>5.5815822386021203</v>
      </c>
      <c r="AY580">
        <v>117043.959599999</v>
      </c>
      <c r="AZ580">
        <v>0.98933265666981896</v>
      </c>
      <c r="BA580">
        <v>134320</v>
      </c>
      <c r="BB580">
        <v>1.1353611318177701</v>
      </c>
      <c r="BC580">
        <v>24.617201086956499</v>
      </c>
    </row>
    <row r="581" spans="1:55" x14ac:dyDescent="0.2">
      <c r="A581" t="s">
        <v>1194</v>
      </c>
      <c r="B581" t="s">
        <v>1195</v>
      </c>
      <c r="C581">
        <v>0</v>
      </c>
      <c r="D581">
        <v>0</v>
      </c>
      <c r="E581">
        <v>790</v>
      </c>
      <c r="F581">
        <v>0</v>
      </c>
      <c r="G581">
        <v>0</v>
      </c>
      <c r="H581">
        <v>0</v>
      </c>
      <c r="I581">
        <v>790</v>
      </c>
      <c r="J581">
        <v>7998.79</v>
      </c>
      <c r="K581">
        <v>74971</v>
      </c>
      <c r="L581">
        <v>52479.7</v>
      </c>
      <c r="M581">
        <v>12687.4</v>
      </c>
      <c r="N581">
        <v>1</v>
      </c>
      <c r="O581">
        <v>0</v>
      </c>
      <c r="P581">
        <v>1788000</v>
      </c>
      <c r="Q581">
        <v>8449.91</v>
      </c>
      <c r="R581">
        <v>1090</v>
      </c>
      <c r="S581">
        <v>12998.07</v>
      </c>
      <c r="T581">
        <v>61478.95</v>
      </c>
      <c r="U581">
        <v>1</v>
      </c>
      <c r="V581">
        <v>7212.24</v>
      </c>
      <c r="W581">
        <v>2320.59</v>
      </c>
      <c r="X581">
        <v>7753.87</v>
      </c>
      <c r="Y581">
        <v>231349.68</v>
      </c>
      <c r="Z581">
        <v>8449.91</v>
      </c>
      <c r="AA581">
        <v>1090</v>
      </c>
      <c r="AB581">
        <v>12998.07</v>
      </c>
      <c r="AC581">
        <v>61478.95</v>
      </c>
      <c r="AD581">
        <v>1.23</v>
      </c>
      <c r="AE581">
        <v>0.98</v>
      </c>
      <c r="AF581">
        <v>1.17</v>
      </c>
      <c r="AG581">
        <v>2.85</v>
      </c>
      <c r="AH581">
        <v>0</v>
      </c>
      <c r="AI581">
        <v>0</v>
      </c>
      <c r="AJ581">
        <v>0</v>
      </c>
      <c r="AK581">
        <v>0</v>
      </c>
      <c r="AL581">
        <v>15662.15</v>
      </c>
      <c r="AM581">
        <v>3410.59</v>
      </c>
      <c r="AN581">
        <v>20751.939999999999</v>
      </c>
      <c r="AO581">
        <v>292828.63</v>
      </c>
      <c r="AP581">
        <v>45267.46</v>
      </c>
      <c r="AQ581">
        <v>10366.81</v>
      </c>
      <c r="AR581">
        <v>-7752.8699999999899</v>
      </c>
      <c r="AS581">
        <v>-231349.68</v>
      </c>
      <c r="AT581">
        <v>0.453592</v>
      </c>
      <c r="AU581">
        <v>0.44043783199999997</v>
      </c>
      <c r="AV581">
        <v>0</v>
      </c>
      <c r="AW581">
        <v>6768313.0800000001</v>
      </c>
      <c r="AY581">
        <v>103344.3668</v>
      </c>
      <c r="AZ581">
        <v>1.3784578943858199</v>
      </c>
      <c r="BA581">
        <v>105493.90243902399</v>
      </c>
      <c r="BB581">
        <v>1.4071294559099401</v>
      </c>
      <c r="BC581">
        <v>27.675138396624401</v>
      </c>
    </row>
    <row r="582" spans="1:55" x14ac:dyDescent="0.2">
      <c r="A582" t="s">
        <v>1196</v>
      </c>
      <c r="B582" t="s">
        <v>1197</v>
      </c>
      <c r="C582">
        <v>358</v>
      </c>
      <c r="D582">
        <v>60</v>
      </c>
      <c r="E582">
        <v>142</v>
      </c>
      <c r="F582">
        <v>120</v>
      </c>
      <c r="G582">
        <v>0</v>
      </c>
      <c r="H582">
        <v>0</v>
      </c>
      <c r="I582">
        <v>680</v>
      </c>
      <c r="J582">
        <v>12055.15</v>
      </c>
      <c r="K582">
        <v>150386.51</v>
      </c>
      <c r="L582">
        <v>105270.56</v>
      </c>
      <c r="M582">
        <v>24969.51</v>
      </c>
      <c r="N582">
        <v>66208.240000000005</v>
      </c>
      <c r="O582">
        <v>182361.3</v>
      </c>
      <c r="P582">
        <v>6439500</v>
      </c>
      <c r="Q582">
        <v>21776.21</v>
      </c>
      <c r="R582">
        <v>4367.3599999999997</v>
      </c>
      <c r="S582">
        <v>31513.61</v>
      </c>
      <c r="T582">
        <v>189184.61</v>
      </c>
      <c r="U582">
        <v>60</v>
      </c>
      <c r="V582">
        <v>18491.23</v>
      </c>
      <c r="W582">
        <v>6273.64</v>
      </c>
      <c r="X582">
        <v>5587.38</v>
      </c>
      <c r="Y582">
        <v>8963.6</v>
      </c>
      <c r="Z582">
        <v>21776.21</v>
      </c>
      <c r="AA582">
        <v>4367.3599999999997</v>
      </c>
      <c r="AB582">
        <v>31513.61</v>
      </c>
      <c r="AC582">
        <v>189184.61</v>
      </c>
      <c r="AD582">
        <v>1.31</v>
      </c>
      <c r="AE582">
        <v>1.41</v>
      </c>
      <c r="AF582">
        <v>0.91</v>
      </c>
      <c r="AG582">
        <v>1.17</v>
      </c>
      <c r="AH582">
        <v>0</v>
      </c>
      <c r="AI582">
        <v>0</v>
      </c>
      <c r="AJ582">
        <v>0</v>
      </c>
      <c r="AK582">
        <v>0</v>
      </c>
      <c r="AL582">
        <v>40267.440000000002</v>
      </c>
      <c r="AM582">
        <v>10641</v>
      </c>
      <c r="AN582">
        <v>37100.99</v>
      </c>
      <c r="AO582">
        <v>198148.21</v>
      </c>
      <c r="AP582">
        <v>86779.3299999999</v>
      </c>
      <c r="AQ582">
        <v>18695.87</v>
      </c>
      <c r="AR582">
        <v>60620.86</v>
      </c>
      <c r="AS582">
        <v>173397.69999999899</v>
      </c>
      <c r="AT582">
        <v>27.215519999999898</v>
      </c>
      <c r="AU582">
        <v>26.4262699199999</v>
      </c>
      <c r="AV582">
        <v>4031856.0016943901</v>
      </c>
      <c r="AW582">
        <v>24376147.695</v>
      </c>
      <c r="AX582">
        <v>6.0458874733511898</v>
      </c>
      <c r="AY582">
        <v>155752.538</v>
      </c>
      <c r="AZ582">
        <v>1.0356815780883499</v>
      </c>
      <c r="BA582">
        <v>187556.58536585301</v>
      </c>
      <c r="BB582">
        <v>1.24716362768079</v>
      </c>
      <c r="BC582">
        <v>23.4602786216062</v>
      </c>
    </row>
    <row r="583" spans="1:55" x14ac:dyDescent="0.2">
      <c r="A583" t="s">
        <v>1198</v>
      </c>
      <c r="B583" t="s">
        <v>1199</v>
      </c>
      <c r="C583">
        <v>585</v>
      </c>
      <c r="D583">
        <v>50</v>
      </c>
      <c r="E583">
        <v>0</v>
      </c>
      <c r="F583">
        <v>0</v>
      </c>
      <c r="G583">
        <v>0</v>
      </c>
      <c r="H583">
        <v>0</v>
      </c>
      <c r="I583">
        <v>635</v>
      </c>
      <c r="J583">
        <v>15403.25</v>
      </c>
      <c r="K583">
        <v>201384.29</v>
      </c>
      <c r="L583">
        <v>140969</v>
      </c>
      <c r="M583">
        <v>33686.300000000003</v>
      </c>
      <c r="N583">
        <v>110412.85</v>
      </c>
      <c r="O583">
        <v>287730.90000000002</v>
      </c>
      <c r="P583">
        <v>10885000</v>
      </c>
      <c r="Q583">
        <v>35353.54</v>
      </c>
      <c r="R583">
        <v>2046.03</v>
      </c>
      <c r="S583">
        <v>15710.74</v>
      </c>
      <c r="T583">
        <v>131049.96</v>
      </c>
      <c r="U583">
        <v>65</v>
      </c>
      <c r="V583">
        <v>0</v>
      </c>
      <c r="W583">
        <v>0</v>
      </c>
      <c r="X583">
        <v>0</v>
      </c>
      <c r="Y583">
        <v>0</v>
      </c>
      <c r="Z583">
        <v>35353.54</v>
      </c>
      <c r="AA583">
        <v>2046.03</v>
      </c>
      <c r="AB583">
        <v>15710.74</v>
      </c>
      <c r="AC583">
        <v>131049.96</v>
      </c>
      <c r="AD583">
        <v>1.17</v>
      </c>
      <c r="AE583">
        <v>0.4</v>
      </c>
      <c r="AF583">
        <v>0.59</v>
      </c>
      <c r="AG583">
        <v>0.68</v>
      </c>
      <c r="AH583">
        <v>85560</v>
      </c>
      <c r="AI583">
        <v>18600</v>
      </c>
      <c r="AJ583">
        <v>113460</v>
      </c>
      <c r="AK583">
        <v>1301572.2</v>
      </c>
      <c r="AL583">
        <v>35353.54</v>
      </c>
      <c r="AM583">
        <v>2046.03</v>
      </c>
      <c r="AN583">
        <v>15710.74</v>
      </c>
      <c r="AO583">
        <v>131049.96</v>
      </c>
      <c r="AP583">
        <v>55409</v>
      </c>
      <c r="AQ583">
        <v>15086.3</v>
      </c>
      <c r="AR583">
        <v>-3047.1499999999901</v>
      </c>
      <c r="AS583">
        <v>-1013841.29999999</v>
      </c>
      <c r="AT583">
        <v>29.48348</v>
      </c>
      <c r="AU583">
        <v>28.628459079999999</v>
      </c>
      <c r="AV583">
        <v>6635361.1032669898</v>
      </c>
      <c r="AW583">
        <v>41204187.850000001</v>
      </c>
      <c r="AX583">
        <v>6.2097883157726903</v>
      </c>
      <c r="AY583">
        <v>199009.99</v>
      </c>
      <c r="AZ583">
        <v>0.98821010318133495</v>
      </c>
      <c r="BA583">
        <v>231775</v>
      </c>
      <c r="BB583">
        <v>1.15090904062079</v>
      </c>
      <c r="BC583">
        <v>24.2570866141732</v>
      </c>
    </row>
    <row r="584" spans="1:55" x14ac:dyDescent="0.2">
      <c r="A584" t="s">
        <v>1200</v>
      </c>
      <c r="B584" t="s">
        <v>1201</v>
      </c>
      <c r="C584">
        <v>250</v>
      </c>
      <c r="D584">
        <v>50</v>
      </c>
      <c r="E584">
        <v>0</v>
      </c>
      <c r="F584">
        <v>0</v>
      </c>
      <c r="G584">
        <v>0</v>
      </c>
      <c r="H584">
        <v>0</v>
      </c>
      <c r="I584">
        <v>300</v>
      </c>
      <c r="J584">
        <v>6896.57</v>
      </c>
      <c r="K584">
        <v>89762.74</v>
      </c>
      <c r="L584">
        <v>62833.919999999998</v>
      </c>
      <c r="M584">
        <v>14804.58</v>
      </c>
      <c r="N584">
        <v>46526.18</v>
      </c>
      <c r="O584">
        <v>129564</v>
      </c>
      <c r="P584">
        <v>7182000</v>
      </c>
      <c r="Q584">
        <v>15647.8</v>
      </c>
      <c r="R584">
        <v>3652.12</v>
      </c>
      <c r="S584">
        <v>23084.15</v>
      </c>
      <c r="T584">
        <v>127478.47</v>
      </c>
      <c r="U584">
        <v>61</v>
      </c>
      <c r="V584">
        <v>40958.33</v>
      </c>
      <c r="W584">
        <v>16221.12</v>
      </c>
      <c r="X584">
        <v>29603.54</v>
      </c>
      <c r="Y584">
        <v>932714.4</v>
      </c>
      <c r="Z584">
        <v>15647.8</v>
      </c>
      <c r="AA584">
        <v>3652.12</v>
      </c>
      <c r="AB584">
        <v>23084.15</v>
      </c>
      <c r="AC584">
        <v>127478.47</v>
      </c>
      <c r="AD584">
        <v>0.84</v>
      </c>
      <c r="AE584">
        <v>1.43</v>
      </c>
      <c r="AF584">
        <v>0.73</v>
      </c>
      <c r="AG584">
        <v>2.5499999999999998</v>
      </c>
      <c r="AH584">
        <v>0</v>
      </c>
      <c r="AI584">
        <v>0</v>
      </c>
      <c r="AJ584">
        <v>0</v>
      </c>
      <c r="AK584">
        <v>0</v>
      </c>
      <c r="AL584">
        <v>56606.13</v>
      </c>
      <c r="AM584">
        <v>19873.240000000002</v>
      </c>
      <c r="AN584">
        <v>52687.69</v>
      </c>
      <c r="AO584">
        <v>1060192.8700000001</v>
      </c>
      <c r="AP584">
        <v>21875.589999999898</v>
      </c>
      <c r="AQ584">
        <v>-1416.54</v>
      </c>
      <c r="AR584">
        <v>16922.64</v>
      </c>
      <c r="AS584">
        <v>-803150.4</v>
      </c>
      <c r="AT584">
        <v>27.669111999999998</v>
      </c>
      <c r="AU584">
        <v>26.8667077519999</v>
      </c>
      <c r="AV584">
        <v>2941904.4988439898</v>
      </c>
      <c r="AW584">
        <v>27186814.620000001</v>
      </c>
      <c r="AX584">
        <v>9.2412294928957905</v>
      </c>
      <c r="AY584">
        <v>89103.684399999998</v>
      </c>
      <c r="AZ584">
        <v>0.99265780434064199</v>
      </c>
      <c r="BA584">
        <v>109500</v>
      </c>
      <c r="BB584">
        <v>1.21988254814859</v>
      </c>
      <c r="BC584">
        <v>22.9885666666666</v>
      </c>
    </row>
    <row r="585" spans="1:55" x14ac:dyDescent="0.2">
      <c r="A585" t="s">
        <v>1202</v>
      </c>
      <c r="B585" t="s">
        <v>1203</v>
      </c>
      <c r="C585">
        <v>0</v>
      </c>
      <c r="D585">
        <v>0</v>
      </c>
      <c r="E585">
        <v>0</v>
      </c>
      <c r="F585">
        <v>800</v>
      </c>
      <c r="G585">
        <v>0</v>
      </c>
      <c r="H585">
        <v>0</v>
      </c>
      <c r="I585">
        <v>800</v>
      </c>
      <c r="J585">
        <v>7990.48</v>
      </c>
      <c r="K585">
        <v>76128</v>
      </c>
      <c r="L585">
        <v>53289.599999999999</v>
      </c>
      <c r="M585">
        <v>12883.2</v>
      </c>
      <c r="N585">
        <v>1</v>
      </c>
      <c r="O585">
        <v>0</v>
      </c>
      <c r="P585">
        <v>4798500</v>
      </c>
      <c r="Q585">
        <v>13321.42</v>
      </c>
      <c r="R585">
        <v>5276.05</v>
      </c>
      <c r="S585">
        <v>54561.65</v>
      </c>
      <c r="T585">
        <v>162835.9</v>
      </c>
      <c r="U585">
        <v>1</v>
      </c>
      <c r="V585">
        <v>58622.36</v>
      </c>
      <c r="W585">
        <v>20617.55</v>
      </c>
      <c r="X585">
        <v>72221.52</v>
      </c>
      <c r="Y585">
        <v>5107523.2699999996</v>
      </c>
      <c r="Z585">
        <v>13321.42</v>
      </c>
      <c r="AA585">
        <v>5276.05</v>
      </c>
      <c r="AB585">
        <v>54561.65</v>
      </c>
      <c r="AC585">
        <v>162835.9</v>
      </c>
      <c r="AD585">
        <v>0.74</v>
      </c>
      <c r="AE585">
        <v>1.1499999999999999</v>
      </c>
      <c r="AF585">
        <v>1.3</v>
      </c>
      <c r="AG585">
        <v>10.19</v>
      </c>
      <c r="AH585">
        <v>0</v>
      </c>
      <c r="AI585">
        <v>0</v>
      </c>
      <c r="AJ585">
        <v>0</v>
      </c>
      <c r="AK585">
        <v>0</v>
      </c>
      <c r="AL585">
        <v>71943.78</v>
      </c>
      <c r="AM585">
        <v>25893.599999999999</v>
      </c>
      <c r="AN585">
        <v>126783.17</v>
      </c>
      <c r="AO585">
        <v>5270359.17</v>
      </c>
      <c r="AP585">
        <v>-5332.7599999999902</v>
      </c>
      <c r="AQ585">
        <v>-7734.3499999999904</v>
      </c>
      <c r="AR585">
        <v>-72220.52</v>
      </c>
      <c r="AS585">
        <v>-5107523.2699999996</v>
      </c>
      <c r="AT585">
        <v>0.453592</v>
      </c>
      <c r="AU585">
        <v>0.44043783199999997</v>
      </c>
      <c r="AV585">
        <v>0</v>
      </c>
      <c r="AW585">
        <v>18164289.885000002</v>
      </c>
      <c r="AY585">
        <v>103237.001599999</v>
      </c>
      <c r="AZ585">
        <v>1.35609764606977</v>
      </c>
      <c r="BA585">
        <v>106829.268292682</v>
      </c>
      <c r="BB585">
        <v>1.40328483991019</v>
      </c>
      <c r="BC585">
        <v>27.300806666666599</v>
      </c>
    </row>
    <row r="586" spans="1:55" x14ac:dyDescent="0.2">
      <c r="A586" t="s">
        <v>1204</v>
      </c>
      <c r="B586" t="s">
        <v>1205</v>
      </c>
      <c r="C586">
        <v>0</v>
      </c>
      <c r="D586">
        <v>0</v>
      </c>
      <c r="E586">
        <v>225</v>
      </c>
      <c r="F586">
        <v>0</v>
      </c>
      <c r="G586">
        <v>0</v>
      </c>
      <c r="H586">
        <v>0</v>
      </c>
      <c r="I586">
        <v>225</v>
      </c>
      <c r="J586">
        <v>2432.61</v>
      </c>
      <c r="K586">
        <v>21411</v>
      </c>
      <c r="L586">
        <v>14987.7</v>
      </c>
      <c r="M586">
        <v>3623.4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78907.88</v>
      </c>
      <c r="W586">
        <v>24580.91</v>
      </c>
      <c r="X586">
        <v>51474.44</v>
      </c>
      <c r="Y586">
        <v>1598767.12</v>
      </c>
      <c r="Z586">
        <v>0</v>
      </c>
      <c r="AA586">
        <v>0</v>
      </c>
      <c r="AB586">
        <v>0</v>
      </c>
      <c r="AC586">
        <v>0</v>
      </c>
      <c r="AD586">
        <v>0.83</v>
      </c>
      <c r="AE586">
        <v>1.0900000000000001</v>
      </c>
      <c r="AF586">
        <v>0.55000000000000004</v>
      </c>
      <c r="AG586">
        <v>3.34</v>
      </c>
      <c r="AH586">
        <v>0</v>
      </c>
      <c r="AI586">
        <v>0</v>
      </c>
      <c r="AJ586">
        <v>0</v>
      </c>
      <c r="AK586">
        <v>0</v>
      </c>
      <c r="AL586">
        <v>78907.88</v>
      </c>
      <c r="AM586">
        <v>24580.91</v>
      </c>
      <c r="AN586">
        <v>51474.44</v>
      </c>
      <c r="AO586">
        <v>1598767.12</v>
      </c>
      <c r="AP586">
        <v>-63920.18</v>
      </c>
      <c r="AQ586">
        <v>-20957.509999999998</v>
      </c>
      <c r="AR586">
        <v>-51473.440000000002</v>
      </c>
      <c r="AS586">
        <v>-1598767.12</v>
      </c>
      <c r="AT586">
        <v>0.453592</v>
      </c>
      <c r="AU586">
        <v>0.44043783199999997</v>
      </c>
      <c r="AV586">
        <v>0</v>
      </c>
      <c r="AW586">
        <v>0</v>
      </c>
      <c r="AY586">
        <v>31429.321199999998</v>
      </c>
      <c r="AZ586">
        <v>1.4679053383774601</v>
      </c>
      <c r="BA586">
        <v>30045.731707317002</v>
      </c>
      <c r="BB586">
        <v>1.40328483991019</v>
      </c>
      <c r="BC586">
        <v>29.5517066666666</v>
      </c>
    </row>
    <row r="587" spans="1:55" x14ac:dyDescent="0.2">
      <c r="A587" t="s">
        <v>1206</v>
      </c>
      <c r="B587" t="s">
        <v>1207</v>
      </c>
      <c r="C587">
        <v>1865</v>
      </c>
      <c r="D587">
        <v>205</v>
      </c>
      <c r="E587">
        <v>290</v>
      </c>
      <c r="F587">
        <v>465</v>
      </c>
      <c r="G587">
        <v>435</v>
      </c>
      <c r="H587">
        <v>0</v>
      </c>
      <c r="I587">
        <v>3260</v>
      </c>
      <c r="J587">
        <v>58447.06</v>
      </c>
      <c r="K587">
        <v>741630.09</v>
      </c>
      <c r="L587">
        <v>519141.06</v>
      </c>
      <c r="M587">
        <v>121701.6</v>
      </c>
      <c r="N587">
        <v>350771.27</v>
      </c>
      <c r="O587">
        <v>927810</v>
      </c>
      <c r="P587">
        <v>22605916</v>
      </c>
      <c r="Q587">
        <v>100814.22</v>
      </c>
      <c r="R587">
        <v>16246.38</v>
      </c>
      <c r="S587">
        <v>132694.16</v>
      </c>
      <c r="T587">
        <v>883435.82</v>
      </c>
      <c r="U587">
        <v>64</v>
      </c>
      <c r="V587">
        <v>0</v>
      </c>
      <c r="W587">
        <v>0</v>
      </c>
      <c r="X587">
        <v>0</v>
      </c>
      <c r="Y587">
        <v>0</v>
      </c>
      <c r="Z587">
        <v>100814.22</v>
      </c>
      <c r="AA587">
        <v>16246.38</v>
      </c>
      <c r="AB587">
        <v>132694.16</v>
      </c>
      <c r="AC587">
        <v>883435.82</v>
      </c>
      <c r="AD587">
        <v>1.22</v>
      </c>
      <c r="AE587">
        <v>0.46</v>
      </c>
      <c r="AF587">
        <v>0.87</v>
      </c>
      <c r="AG587">
        <v>2.31</v>
      </c>
      <c r="AH587">
        <v>0</v>
      </c>
      <c r="AI587">
        <v>0</v>
      </c>
      <c r="AJ587">
        <v>0</v>
      </c>
      <c r="AK587">
        <v>0</v>
      </c>
      <c r="AL587">
        <v>100814.22</v>
      </c>
      <c r="AM587">
        <v>16246.38</v>
      </c>
      <c r="AN587">
        <v>132694.16</v>
      </c>
      <c r="AO587">
        <v>883435.82</v>
      </c>
      <c r="AP587">
        <v>519141.06</v>
      </c>
      <c r="AQ587">
        <v>121701.6</v>
      </c>
      <c r="AR587">
        <v>350771.27</v>
      </c>
      <c r="AS587">
        <v>927809.99999999895</v>
      </c>
      <c r="AT587">
        <v>29.029888</v>
      </c>
      <c r="AU587">
        <v>28.188021247999998</v>
      </c>
      <c r="AV587">
        <v>21297459.453926399</v>
      </c>
      <c r="AW587">
        <v>85572660.48556</v>
      </c>
      <c r="AX587">
        <v>4.0179750392614899</v>
      </c>
      <c r="AY587">
        <v>755136.01520000002</v>
      </c>
      <c r="AZ587">
        <v>1.01821113434057</v>
      </c>
      <c r="BA587">
        <v>875732.92682926799</v>
      </c>
      <c r="BB587">
        <v>1.1808217312612901</v>
      </c>
      <c r="BC587">
        <v>23.328752531152599</v>
      </c>
    </row>
    <row r="588" spans="1:55" x14ac:dyDescent="0.2">
      <c r="A588" t="s">
        <v>1208</v>
      </c>
      <c r="B588" t="s">
        <v>1209</v>
      </c>
      <c r="C588">
        <v>0</v>
      </c>
      <c r="D588">
        <v>113</v>
      </c>
      <c r="E588">
        <v>145</v>
      </c>
      <c r="F588">
        <v>135</v>
      </c>
      <c r="G588">
        <v>70</v>
      </c>
      <c r="H588">
        <v>0</v>
      </c>
      <c r="I588">
        <v>463</v>
      </c>
      <c r="J588">
        <v>4420.05</v>
      </c>
      <c r="K588">
        <v>50910.6</v>
      </c>
      <c r="L588">
        <v>35637.42</v>
      </c>
      <c r="M588">
        <v>7492.39</v>
      </c>
      <c r="N588">
        <v>1</v>
      </c>
      <c r="O588">
        <v>26055.54</v>
      </c>
      <c r="P588">
        <v>672000</v>
      </c>
      <c r="Q588">
        <v>1214.0999999999999</v>
      </c>
      <c r="R588">
        <v>392.55</v>
      </c>
      <c r="S588">
        <v>2669.33</v>
      </c>
      <c r="T588">
        <v>13458.82</v>
      </c>
      <c r="U588">
        <v>1</v>
      </c>
      <c r="V588">
        <v>42100</v>
      </c>
      <c r="W588">
        <v>13472</v>
      </c>
      <c r="X588">
        <v>71149</v>
      </c>
      <c r="Y588">
        <v>0</v>
      </c>
      <c r="Z588">
        <v>1214.0999999999999</v>
      </c>
      <c r="AA588">
        <v>392.55</v>
      </c>
      <c r="AB588">
        <v>2669.33</v>
      </c>
      <c r="AC588">
        <v>13458.82</v>
      </c>
      <c r="AD588">
        <v>0.92</v>
      </c>
      <c r="AE588">
        <v>0.38</v>
      </c>
      <c r="AF588">
        <v>0.38</v>
      </c>
      <c r="AG588">
        <v>2.52</v>
      </c>
      <c r="AH588">
        <v>0</v>
      </c>
      <c r="AI588">
        <v>0</v>
      </c>
      <c r="AJ588">
        <v>0</v>
      </c>
      <c r="AK588">
        <v>0</v>
      </c>
      <c r="AL588">
        <v>43314.1</v>
      </c>
      <c r="AM588">
        <v>13864.55</v>
      </c>
      <c r="AN588">
        <v>73818.33</v>
      </c>
      <c r="AO588">
        <v>13458.82</v>
      </c>
      <c r="AP588">
        <v>-6462.58</v>
      </c>
      <c r="AQ588">
        <v>-5979.6099999999897</v>
      </c>
      <c r="AR588">
        <v>-71148</v>
      </c>
      <c r="AS588">
        <v>26055.54</v>
      </c>
      <c r="AT588">
        <v>0.453592</v>
      </c>
      <c r="AU588">
        <v>0.44043783199999997</v>
      </c>
      <c r="AV588">
        <v>18165.858380839902</v>
      </c>
      <c r="AW588">
        <v>2543795.52</v>
      </c>
      <c r="AX588">
        <v>140.031671868751</v>
      </c>
      <c r="AY588">
        <v>57107.046000000002</v>
      </c>
      <c r="AZ588">
        <v>1.12171229567123</v>
      </c>
      <c r="BA588">
        <v>81751.097560975599</v>
      </c>
      <c r="BB588">
        <v>1.60577753082807</v>
      </c>
      <c r="BC588">
        <v>18.3367449155114</v>
      </c>
    </row>
    <row r="589" spans="1:55" x14ac:dyDescent="0.2">
      <c r="A589" t="s">
        <v>1210</v>
      </c>
      <c r="B589" t="s">
        <v>1211</v>
      </c>
      <c r="C589">
        <v>826</v>
      </c>
      <c r="D589">
        <v>166</v>
      </c>
      <c r="E589">
        <v>400</v>
      </c>
      <c r="F589">
        <v>307</v>
      </c>
      <c r="G589">
        <v>260</v>
      </c>
      <c r="H589">
        <v>0</v>
      </c>
      <c r="I589">
        <v>1959</v>
      </c>
      <c r="J589">
        <v>31534.75</v>
      </c>
      <c r="K589">
        <v>382406.77</v>
      </c>
      <c r="L589">
        <v>267684.74</v>
      </c>
      <c r="M589">
        <v>62196.04</v>
      </c>
      <c r="N589">
        <v>155899.17000000001</v>
      </c>
      <c r="O589">
        <v>428263.92</v>
      </c>
      <c r="P589">
        <v>3192000</v>
      </c>
      <c r="Q589">
        <v>6204.2</v>
      </c>
      <c r="R589">
        <v>1100.24</v>
      </c>
      <c r="S589">
        <v>7018.91</v>
      </c>
      <c r="T589">
        <v>52945.9</v>
      </c>
      <c r="U589">
        <v>65</v>
      </c>
      <c r="V589">
        <v>31189.31</v>
      </c>
      <c r="W589">
        <v>12355.91</v>
      </c>
      <c r="X589">
        <v>37724.19</v>
      </c>
      <c r="Y589">
        <v>1281604.54</v>
      </c>
      <c r="Z589">
        <v>6204.2</v>
      </c>
      <c r="AA589">
        <v>1100.24</v>
      </c>
      <c r="AB589">
        <v>7018.91</v>
      </c>
      <c r="AC589">
        <v>52945.9</v>
      </c>
      <c r="AD589">
        <v>0.73</v>
      </c>
      <c r="AE589">
        <v>1.05</v>
      </c>
      <c r="AF589">
        <v>0.61</v>
      </c>
      <c r="AG589">
        <v>3.08</v>
      </c>
      <c r="AH589">
        <v>0</v>
      </c>
      <c r="AI589">
        <v>0</v>
      </c>
      <c r="AJ589">
        <v>0</v>
      </c>
      <c r="AK589">
        <v>0</v>
      </c>
      <c r="AL589">
        <v>37393.51</v>
      </c>
      <c r="AM589">
        <v>13456.15</v>
      </c>
      <c r="AN589">
        <v>44743.1</v>
      </c>
      <c r="AO589">
        <v>1334550.44</v>
      </c>
      <c r="AP589">
        <v>236495.43</v>
      </c>
      <c r="AQ589">
        <v>49840.13</v>
      </c>
      <c r="AR589">
        <v>118174.98</v>
      </c>
      <c r="AS589">
        <v>-853340.61999999895</v>
      </c>
      <c r="AT589">
        <v>29.48348</v>
      </c>
      <c r="AU589">
        <v>28.628459079999999</v>
      </c>
      <c r="AV589">
        <v>10365792.463686399</v>
      </c>
      <c r="AW589">
        <v>12083028.720000001</v>
      </c>
      <c r="AX589">
        <v>1.1656637697821399</v>
      </c>
      <c r="AY589">
        <v>407428.97</v>
      </c>
      <c r="AZ589">
        <v>1.06543346499854</v>
      </c>
      <c r="BA589">
        <v>468063.53658536501</v>
      </c>
      <c r="BB589">
        <v>1.2239938549868301</v>
      </c>
      <c r="BC589">
        <v>23.4323132827083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820B0-ED52-9945-B006-528D6DE51535}">
  <dimension ref="A1:E14"/>
  <sheetViews>
    <sheetView workbookViewId="0">
      <selection activeCell="H15" sqref="H15"/>
    </sheetView>
  </sheetViews>
  <sheetFormatPr baseColWidth="10" defaultRowHeight="16" x14ac:dyDescent="0.2"/>
  <cols>
    <col min="1" max="1" width="31.33203125" bestFit="1" customWidth="1"/>
  </cols>
  <sheetData>
    <row r="1" spans="1:5" x14ac:dyDescent="0.2">
      <c r="A1" s="1" t="s">
        <v>1212</v>
      </c>
      <c r="B1" s="1">
        <f>SUM(Dairy_Report_Summary_2024!J2:J589)</f>
        <v>21369372.439999998</v>
      </c>
      <c r="C1" s="1" t="s">
        <v>1213</v>
      </c>
      <c r="D1" s="1"/>
      <c r="E1" s="1"/>
    </row>
    <row r="2" spans="1:5" x14ac:dyDescent="0.2">
      <c r="A2" s="1" t="s">
        <v>1214</v>
      </c>
      <c r="B2">
        <f>SUM(Dairy_Report_Summary_2024!K2:K589)</f>
        <v>267039403.2700001</v>
      </c>
      <c r="C2" s="1" t="s">
        <v>1215</v>
      </c>
      <c r="D2" s="1">
        <f>B2*0.0005</f>
        <v>133519.70163500006</v>
      </c>
      <c r="E2" s="1" t="s">
        <v>1216</v>
      </c>
    </row>
    <row r="3" spans="1:5" x14ac:dyDescent="0.2">
      <c r="A3" s="1" t="s">
        <v>1217</v>
      </c>
      <c r="B3" s="1">
        <f>SUM(Dairy_Report_Summary_2024!L2:L589)</f>
        <v>186927582.54000005</v>
      </c>
      <c r="C3" s="1" t="s">
        <v>1215</v>
      </c>
      <c r="D3" s="1">
        <f>B3*0.0005</f>
        <v>93463.791270000031</v>
      </c>
      <c r="E3" s="1" t="s">
        <v>1216</v>
      </c>
    </row>
    <row r="4" spans="1:5" x14ac:dyDescent="0.2">
      <c r="A4" s="1" t="s">
        <v>1218</v>
      </c>
      <c r="B4" s="1">
        <f>(D2/B1)*100</f>
        <v>0.62481807554195101</v>
      </c>
      <c r="C4" s="1" t="s">
        <v>1219</v>
      </c>
      <c r="D4" s="1"/>
      <c r="E4" s="1"/>
    </row>
    <row r="5" spans="1:5" x14ac:dyDescent="0.2">
      <c r="A5" s="1"/>
      <c r="B5" s="1"/>
      <c r="C5" s="1"/>
      <c r="D5" s="1"/>
      <c r="E5" s="1"/>
    </row>
    <row r="6" spans="1:5" x14ac:dyDescent="0.2">
      <c r="A6" s="1" t="s">
        <v>1220</v>
      </c>
      <c r="B6" s="1">
        <f>B2-B3</f>
        <v>80111820.730000049</v>
      </c>
      <c r="C6" s="1" t="s">
        <v>1215</v>
      </c>
      <c r="D6" s="1">
        <f>B6*0.0005</f>
        <v>40055.910365000025</v>
      </c>
      <c r="E6" s="1" t="s">
        <v>1216</v>
      </c>
    </row>
    <row r="7" spans="1:5" x14ac:dyDescent="0.2">
      <c r="A7" s="1"/>
      <c r="B7" s="1"/>
      <c r="C7" s="1"/>
      <c r="D7" s="1"/>
      <c r="E7" s="1"/>
    </row>
    <row r="8" spans="1:5" x14ac:dyDescent="0.2">
      <c r="A8" s="1" t="s">
        <v>1221</v>
      </c>
      <c r="B8" s="1"/>
      <c r="C8" s="1"/>
      <c r="D8" s="1"/>
      <c r="E8" s="1"/>
    </row>
    <row r="9" spans="1:5" x14ac:dyDescent="0.2">
      <c r="A9" s="1" t="s">
        <v>1222</v>
      </c>
      <c r="B9" s="1">
        <v>17.030999999999999</v>
      </c>
      <c r="C9" s="1" t="s">
        <v>1223</v>
      </c>
      <c r="D9" s="1"/>
      <c r="E9" s="1"/>
    </row>
    <row r="10" spans="1:5" x14ac:dyDescent="0.2">
      <c r="A10" s="1" t="s">
        <v>1224</v>
      </c>
      <c r="B10" s="1">
        <v>1.008</v>
      </c>
      <c r="C10" s="1" t="s">
        <v>1223</v>
      </c>
      <c r="D10" s="1"/>
      <c r="E10" s="1"/>
    </row>
    <row r="11" spans="1:5" x14ac:dyDescent="0.2">
      <c r="A11" s="1" t="s">
        <v>1225</v>
      </c>
      <c r="B11" s="1">
        <v>14.01</v>
      </c>
      <c r="C11" s="1" t="s">
        <v>1223</v>
      </c>
      <c r="D11" s="1"/>
      <c r="E11" s="1"/>
    </row>
    <row r="12" spans="1:5" x14ac:dyDescent="0.2">
      <c r="A12" s="1" t="s">
        <v>1226</v>
      </c>
      <c r="B12" s="1">
        <f>B11/(B11+(3*B10))</f>
        <v>0.82247270165551256</v>
      </c>
      <c r="C12" s="1"/>
      <c r="D12" s="1"/>
      <c r="E12" s="1"/>
    </row>
    <row r="13" spans="1:5" x14ac:dyDescent="0.2">
      <c r="A13" s="1" t="s">
        <v>1227</v>
      </c>
      <c r="B13" s="1">
        <f>B6/B12</f>
        <v>97403622.720543951</v>
      </c>
      <c r="C13" s="1" t="s">
        <v>1215</v>
      </c>
      <c r="D13" s="1">
        <f>B13*0.0005</f>
        <v>48701.811360271975</v>
      </c>
      <c r="E13" s="1" t="s">
        <v>1216</v>
      </c>
    </row>
    <row r="14" spans="1:5" x14ac:dyDescent="0.2">
      <c r="A14" s="1"/>
      <c r="B14" s="1"/>
      <c r="C14" s="1"/>
      <c r="D14" s="1"/>
      <c r="E14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Dairy_Report_Summary_2024</vt:lpstr>
      <vt:lpstr>Dairy_Report_Analysis_2024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Avery Bick</cp:lastModifiedBy>
  <dcterms:created xsi:type="dcterms:W3CDTF">2025-11-22T09:40:16Z</dcterms:created>
  <dcterms:modified xsi:type="dcterms:W3CDTF">2025-11-22T09:45:52Z</dcterms:modified>
</cp:coreProperties>
</file>